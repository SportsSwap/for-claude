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9.xml" ContentType="application/vnd.openxmlformats-officedocument.spreadsheetml.worksheet+xml"/>
  <Override PartName="/xl/worksheets/sheet14.xml" ContentType="application/vnd.openxmlformats-officedocument.spreadsheetml.worksheet+xml"/>
  <Override PartName="/xl/worksheets/sheet19.xml" ContentType="application/vnd.openxmlformats-officedocument.spreadsheetml.worksheet+xml"/>
  <Override PartName="/xl/worksheets/sheet1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8.xml" ContentType="application/vnd.openxmlformats-officedocument.spreadsheetml.worksheet+xml"/>
  <Override PartName="/xl/worksheets/sheet13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Assumptions" sheetId="2" state="visible" r:id="rId4"/>
    <sheet name="Deck" sheetId="3" state="visible" r:id="rId5"/>
    <sheet name="Revenue Build" sheetId="4" state="visible" r:id="rId6"/>
    <sheet name="Income Statement" sheetId="5" state="visible" r:id="rId7"/>
    <sheet name="Balance Sheet" sheetId="6" state="visible" r:id="rId8"/>
    <sheet name="Cash Flow" sheetId="7" state="visible" r:id="rId9"/>
    <sheet name="DCF" sheetId="8" state="visible" r:id="rId10"/>
    <sheet name="Scenario Engine" sheetId="9" state="visible" r:id="rId11"/>
    <sheet name="Scenario Summary" sheetId="10" state="visible" r:id="rId12"/>
    <sheet name="Sensitivity" sheetId="11" state="visible" r:id="rId13"/>
    <sheet name="SOTP NAV" sheetId="12" state="visible" r:id="rId14"/>
    <sheet name="Trading Comps" sheetId="13" state="visible" r:id="rId15"/>
    <sheet name="Precedents" sheetId="14" state="visible" r:id="rId16"/>
    <sheet name="Football Field" sheetId="15" state="visible" r:id="rId17"/>
    <sheet name="ESG Value Bridge" sheetId="16" state="visible" r:id="rId18"/>
    <sheet name="Downstream Option" sheetId="17" state="visible" r:id="rId19"/>
    <sheet name="Returns" sheetId="18" state="visible" r:id="rId20"/>
    <sheet name="Sources" sheetId="19" state="visible" r:id="rId2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<sst xmlns="http://schemas.openxmlformats.org/spreadsheetml/2006/main" count="1215" uniqueCount="784">
  <si>
    <t xml:space="preserve">PLS GROUP LIMITED</t>
  </si>
  <si>
    <t xml:space="preserve">ASX: PLS  |  Spodumene concentrate  |  Pilgangoora, Western Australia</t>
  </si>
  <si>
    <t xml:space="preserve">Equity valuation model</t>
  </si>
  <si>
    <t xml:space="preserve">FMAA x Shared Value Project - Investing for the Future Case Competition 2026</t>
  </si>
  <si>
    <t xml:space="preserve">Prepared for</t>
  </si>
  <si>
    <t xml:space="preserve">FMAA Asset Management - Australian ASX 200 long-only fund</t>
  </si>
  <si>
    <t xml:space="preserve">Coverage team</t>
  </si>
  <si>
    <t xml:space="preserve">Shared Value Coverage</t>
  </si>
  <si>
    <t xml:space="preserve">Valuation date</t>
  </si>
  <si>
    <t xml:space="preserve">5 September 2026</t>
  </si>
  <si>
    <t xml:space="preserve">Reporting currency</t>
  </si>
  <si>
    <t xml:space="preserve">A$ (Australian dollars), millions unless stated</t>
  </si>
  <si>
    <t xml:space="preserve">Fiscal year end</t>
  </si>
  <si>
    <t xml:space="preserve">30 June</t>
  </si>
  <si>
    <t xml:space="preserve">HOW TO USE THIS MODEL</t>
  </si>
  <si>
    <t xml:space="preserve">1.  Assumptions!C7 holds the scenario switch. Change it to Bear / Base / Bull and the entire</t>
  </si>
  <si>
    <t xml:space="preserve">     model - production, prices, costs, capex, statements, DCF and target price - repoints.</t>
  </si>
  <si>
    <t xml:space="preserve">2.  Every projected cell is a live formula. Nothing downstream of Assumptions is typed in.</t>
  </si>
  <si>
    <t xml:space="preserve">3.  Blue text = hardcoded input.  Black = formula.  Green = link to another sheet.</t>
  </si>
  <si>
    <t xml:space="preserve">     Yellow fill = key judgement the reviewer should interrogate first.</t>
  </si>
  <si>
    <t xml:space="preserve">4.  Sources lists the provenance of every input, tagged A (actual) / G (guidance) /</t>
  </si>
  <si>
    <t xml:space="preserve">     M (market) / D (derived) / E (our estimate) / C (prescribed by the case).</t>
  </si>
  <si>
    <t xml:space="preserve">CONTENTS</t>
  </si>
  <si>
    <t xml:space="preserve">Assumptions</t>
  </si>
  <si>
    <t xml:space="preserve">Scenario switch, market data, CAPM and WACC build, operating drivers</t>
  </si>
  <si>
    <t xml:space="preserve">Deck</t>
  </si>
  <si>
    <t xml:space="preserve">Production by asset, realised price, unit cost and capex - all three scenarios</t>
  </si>
  <si>
    <t xml:space="preserve">Revenue Build</t>
  </si>
  <si>
    <t xml:space="preserve">Volume x price bridge by asset, royalties, freight</t>
  </si>
  <si>
    <t xml:space="preserve">Income Statement</t>
  </si>
  <si>
    <t xml:space="preserve">FY24A-FY36F P&amp;L</t>
  </si>
  <si>
    <t xml:space="preserve">Balance Sheet</t>
  </si>
  <si>
    <t xml:space="preserve">FY24A-FY36F balance sheet</t>
  </si>
  <si>
    <t xml:space="preserve">Cash Flow</t>
  </si>
  <si>
    <t xml:space="preserve">FY24A-FY36F cash flow and net working capital</t>
  </si>
  <si>
    <t xml:space="preserve">DCF</t>
  </si>
  <si>
    <t xml:space="preserve">Unlevered FCFF, WACC discounting, terminal value, equity bridge</t>
  </si>
  <si>
    <t xml:space="preserve">Sensitivity</t>
  </si>
  <si>
    <t xml:space="preserve">WACC x TGR, price x cost, price x volume data tables</t>
  </si>
  <si>
    <t xml:space="preserve">Scenario Summary</t>
  </si>
  <si>
    <t xml:space="preserve">Bear / Base / Bull outputs side by side and probability weighting</t>
  </si>
  <si>
    <t xml:space="preserve">SOTP NAV</t>
  </si>
  <si>
    <t xml:space="preserve">Risked asset-by-asset net asset value cross-check</t>
  </si>
  <si>
    <t xml:space="preserve">Trading Comps</t>
  </si>
  <si>
    <t xml:space="preserve">ASX diversified peers and global lithium pure-plays</t>
  </si>
  <si>
    <t xml:space="preserve">Precedents</t>
  </si>
  <si>
    <t xml:space="preserve">Lithium M&amp;A precedent transaction multiples</t>
  </si>
  <si>
    <t xml:space="preserve">Football Field</t>
  </si>
  <si>
    <t xml:space="preserve">Valuation range by methodology and weighted target price</t>
  </si>
  <si>
    <t xml:space="preserve">ESG Value Bridge</t>
  </si>
  <si>
    <t xml:space="preserve">Shared-value levers converted to A$/share of the target</t>
  </si>
  <si>
    <t xml:space="preserve">Downstream Option</t>
  </si>
  <si>
    <t xml:space="preserve">The low-carbon downstream prize, sized and risked, held outside the target</t>
  </si>
  <si>
    <t xml:space="preserve">Returns</t>
  </si>
  <si>
    <t xml:space="preserve">IRR, MoM and TSR against the S&amp;P/ASX 200 benchmark</t>
  </si>
  <si>
    <t xml:space="preserve">Sources</t>
  </si>
  <si>
    <t xml:space="preserve">Provenance register for every input</t>
  </si>
  <si>
    <t xml:space="preserve">IMPORTANT</t>
  </si>
  <si>
    <t xml:space="preserve">Prepared as a university case-competition submission using publicly available information.</t>
  </si>
  <si>
    <t xml:space="preserve">Not investment advice and not a substitute for independent professional research.</t>
  </si>
  <si>
    <t xml:space="preserve">Forecasts are the authors' estimates and will differ from outcomes.</t>
  </si>
  <si>
    <t xml:space="preserve">Assumptions and WACC</t>
  </si>
  <si>
    <t xml:space="preserve">Every driver in the model resolves to a cell on this sheet</t>
  </si>
  <si>
    <t xml:space="preserve">Bear</t>
  </si>
  <si>
    <t xml:space="preserve">PLS Group Limited (ASX: PLS)  |  Valuation date 5 September 2026  |  All figures A$ unless stated</t>
  </si>
  <si>
    <t xml:space="preserve">Base</t>
  </si>
  <si>
    <t xml:space="preserve">Bull</t>
  </si>
  <si>
    <t xml:space="preserve">SCENARIO SWITCH</t>
  </si>
  <si>
    <t xml:space="preserve">Active scenario</t>
  </si>
  <si>
    <t xml:space="preserve">Change this cell to repoint the whole model. Bear / Base / Bull.</t>
  </si>
  <si>
    <t xml:space="preserve">Scenario index</t>
  </si>
  <si>
    <t xml:space="preserve">1 = Bear, 2 = Base, 3 = Bull. Drives every CHOOSE() in the model.</t>
  </si>
  <si>
    <t xml:space="preserve">MARKET DATA</t>
  </si>
  <si>
    <t xml:space="preserve">Last close (A$/share)</t>
  </si>
  <si>
    <t xml:space="preserve">M  Market Index / Google Finance, early Sep-26</t>
  </si>
  <si>
    <t xml:space="preserve">Shares on issue (m)</t>
  </si>
  <si>
    <t xml:space="preserve">M  stockanalysis.com</t>
  </si>
  <si>
    <t xml:space="preserve">Market capitalisation (A$m)</t>
  </si>
  <si>
    <t xml:space="preserve">52-week high (A$)</t>
  </si>
  <si>
    <t xml:space="preserve">52-week low (A$)</t>
  </si>
  <si>
    <t xml:space="preserve">Move off 52-week low</t>
  </si>
  <si>
    <t xml:space="preserve">The central objection this pitch must answer</t>
  </si>
  <si>
    <t xml:space="preserve">CAPITAL STRUCTURE</t>
  </si>
  <si>
    <t xml:space="preserve">Cash and equivalents, FY26A (A$m)</t>
  </si>
  <si>
    <t xml:space="preserve">A  FY26 result, 24-Aug-26</t>
  </si>
  <si>
    <t xml:space="preserve">Borrowings, FY26A (A$m)</t>
  </si>
  <si>
    <t xml:space="preserve">E  US$600m senior notes translated at spot - VERIFY</t>
  </si>
  <si>
    <t xml:space="preserve">Net cash / (net debt) (A$m)</t>
  </si>
  <si>
    <t xml:space="preserve">Enterprise value (A$m)</t>
  </si>
  <si>
    <t xml:space="preserve">Target gearing D/(D+E)</t>
  </si>
  <si>
    <t xml:space="preserve">E  through-cycle target; PLS is currently net cash</t>
  </si>
  <si>
    <t xml:space="preserve">COST OF CAPITAL  (CAPM inputs prescribed by the case)</t>
  </si>
  <si>
    <t xml:space="preserve">Risk-free rate</t>
  </si>
  <si>
    <t xml:space="preserve">C  FMAA case p.6 - prescribed</t>
  </si>
  <si>
    <t xml:space="preserve">Market risk premium</t>
  </si>
  <si>
    <t xml:space="preserve">Equity beta</t>
  </si>
  <si>
    <t xml:space="preserve">C  FMAA case p.6 - Yahoo 5Y monthly</t>
  </si>
  <si>
    <t xml:space="preserve">Cost of equity  = Rf + B x MRP</t>
  </si>
  <si>
    <t xml:space="preserve">Pre-tax cost of debt</t>
  </si>
  <si>
    <t xml:space="preserve">E  indicative senior note coupon - VERIFY</t>
  </si>
  <si>
    <t xml:space="preserve">Corporate tax rate</t>
  </si>
  <si>
    <t xml:space="preserve">Australian statutory rate</t>
  </si>
  <si>
    <t xml:space="preserve">After-tax cost of debt</t>
  </si>
  <si>
    <t xml:space="preserve">WACC</t>
  </si>
  <si>
    <t xml:space="preserve">TERMINAL VALUE</t>
  </si>
  <si>
    <t xml:space="preserve">Terminal growth rate (scenario-driven)</t>
  </si>
  <si>
    <t xml:space="preserve">E  below long-run Australian nominal GDP growth</t>
  </si>
  <si>
    <t xml:space="preserve">Terminal FCFF basis</t>
  </si>
  <si>
    <t xml:space="preserve">Final forecast year FCFF grown at TGR</t>
  </si>
  <si>
    <t xml:space="preserve">OPERATING DRIVERS</t>
  </si>
  <si>
    <t xml:space="preserve">Corporate and admin cost (A$m p.a., FY27 base)</t>
  </si>
  <si>
    <t xml:space="preserve">E</t>
  </si>
  <si>
    <t xml:space="preserve">Cost inflation p.a.</t>
  </si>
  <si>
    <t xml:space="preserve">WA State royalty (% of realised revenue)</t>
  </si>
  <si>
    <t xml:space="preserve">WA ad valorem royalty on concentrate - VERIFY rate and basis</t>
  </si>
  <si>
    <t xml:space="preserve">D&amp;A as % of prior-year capex (steady state)</t>
  </si>
  <si>
    <t xml:space="preserve">Net working capital as % of revenue</t>
  </si>
  <si>
    <t xml:space="preserve">OREBODY AND MINE LIFE  (drives the terminal value)</t>
  </si>
  <si>
    <t xml:space="preserve">Mineral Resource (Mt)</t>
  </si>
  <si>
    <t xml:space="preserve">A  446Mt at 1.28% Li2O, June-2025 update</t>
  </si>
  <si>
    <t xml:space="preserve">Ore Reserve (Mt)</t>
  </si>
  <si>
    <t xml:space="preserve">A  Aug-2023 statement - not restated since the 2025 resource upgrade</t>
  </si>
  <si>
    <t xml:space="preserve">Assumed resource-to-reserve conversion</t>
  </si>
  <si>
    <t xml:space="preserve">E  KEY JUDGEMENT: the reserve alone does not support the modelled expansion</t>
  </si>
  <si>
    <t xml:space="preserve">Mineable ore base (Mt)</t>
  </si>
  <si>
    <t xml:space="preserve">Reserve grade (% Li2O)</t>
  </si>
  <si>
    <t xml:space="preserve">A  1.19% Li2O</t>
  </si>
  <si>
    <t xml:space="preserve">Lithia recovery</t>
  </si>
  <si>
    <t xml:space="preserve">A  ~76.5% reported for FY26</t>
  </si>
  <si>
    <t xml:space="preserve">Concentrate grade (% Li2O)</t>
  </si>
  <si>
    <t xml:space="preserve">A  PLS ships ~SC5.2</t>
  </si>
  <si>
    <t xml:space="preserve">Mass pull (t concentrate per t ore)</t>
  </si>
  <si>
    <t xml:space="preserve">Cap on terminal life (years)</t>
  </si>
  <si>
    <t xml:space="preserve">E  beyond 25 years the discounted contribution is negligible</t>
  </si>
  <si>
    <t xml:space="preserve">BENCHMARK AND MANDATE (from the case)</t>
  </si>
  <si>
    <t xml:space="preserve">S&amp;P/ASX 200 return, FY26</t>
  </si>
  <si>
    <t xml:space="preserve">C  FMAA case p.4</t>
  </si>
  <si>
    <t xml:space="preserve">Fund return, FY25</t>
  </si>
  <si>
    <t xml:space="preserve">C  FMAA case p.4 - index +2.0%</t>
  </si>
  <si>
    <t xml:space="preserve">Required outperformance</t>
  </si>
  <si>
    <t xml:space="preserve">Tags: A = reported actual  |  G = company guidance  |  M = market data  |  D = derived  |  E = our estimate  |  C = prescribed by the case</t>
  </si>
  <si>
    <t xml:space="preserve">Operating deck</t>
  </si>
  <si>
    <t xml:space="preserve">Three scenarios held side by side; the ACTIVE block is what the model reads</t>
  </si>
  <si>
    <t xml:space="preserve">Spodumene concentrate production (kt)</t>
  </si>
  <si>
    <t xml:space="preserve">FY24A</t>
  </si>
  <si>
    <t xml:space="preserve">FY25A</t>
  </si>
  <si>
    <t xml:space="preserve">FY26A</t>
  </si>
  <si>
    <t xml:space="preserve">FY27F</t>
  </si>
  <si>
    <t xml:space="preserve">FY28F</t>
  </si>
  <si>
    <t xml:space="preserve">FY29F</t>
  </si>
  <si>
    <t xml:space="preserve">FY30F</t>
  </si>
  <si>
    <t xml:space="preserve">FY31F</t>
  </si>
  <si>
    <t xml:space="preserve">FY32F</t>
  </si>
  <si>
    <t xml:space="preserve">FY33F</t>
  </si>
  <si>
    <t xml:space="preserve">FY34F</t>
  </si>
  <si>
    <t xml:space="preserve">FY35F</t>
  </si>
  <si>
    <t xml:space="preserve">FY36F</t>
  </si>
  <si>
    <t xml:space="preserve">Bear case</t>
  </si>
  <si>
    <t xml:space="preserve">   Pilgangoora (Pilgan plant)</t>
  </si>
  <si>
    <t xml:space="preserve">   Ngungaju plant</t>
  </si>
  <si>
    <t xml:space="preserve">   P2000 expansion</t>
  </si>
  <si>
    <t xml:space="preserve">   Colina, Brazil</t>
  </si>
  <si>
    <t xml:space="preserve">Total - Bear</t>
  </si>
  <si>
    <t xml:space="preserve">Base case</t>
  </si>
  <si>
    <t xml:space="preserve">Total - Base</t>
  </si>
  <si>
    <t xml:space="preserve">Bull case</t>
  </si>
  <si>
    <t xml:space="preserve">Total - Bull</t>
  </si>
  <si>
    <t xml:space="preserve">ACTIVE  (driven by Assumptions!C7)</t>
  </si>
  <si>
    <t xml:space="preserve">Total production (kt)</t>
  </si>
  <si>
    <t xml:space="preserve">Concentrate sold (kt)</t>
  </si>
  <si>
    <t xml:space="preserve">Forecast assumes sales = production (no inventory build)</t>
  </si>
  <si>
    <t xml:space="preserve">   Growth in production</t>
  </si>
  <si>
    <t xml:space="preserve">Realised price (US$/dmt of concentrate)</t>
  </si>
  <si>
    <t xml:space="preserve">   Bear case</t>
  </si>
  <si>
    <t xml:space="preserve">   Base case</t>
  </si>
  <si>
    <t xml:space="preserve">   Bull case</t>
  </si>
  <si>
    <t xml:space="preserve">ACTIVE realised price (US$/t)</t>
  </si>
  <si>
    <t xml:space="preserve">   AUD/USD</t>
  </si>
  <si>
    <t xml:space="preserve">Realised price (A$/t)</t>
  </si>
  <si>
    <t xml:space="preserve">Unit operating cost, FOB (A$/dmt)</t>
  </si>
  <si>
    <t xml:space="preserve">ACTIVE unit cost (A$/t FOB)</t>
  </si>
  <si>
    <t xml:space="preserve">Unit cash margin (A$/t)</t>
  </si>
  <si>
    <t xml:space="preserve">   Unit cash margin (%)</t>
  </si>
  <si>
    <t xml:space="preserve">Capital expenditure (A$m)</t>
  </si>
  <si>
    <t xml:space="preserve">ACTIVE capex (A$m)</t>
  </si>
  <si>
    <t xml:space="preserve">FY27 ACTIVE production 1,065kt and capex A$652m sit at the midpoints of company guidance of 1,030-1,100kt and A$620-685m.</t>
  </si>
  <si>
    <t xml:space="preserve">Realised price is below the SC6 benchmark because PLS ships a lower-grade concentrate on an FOB basis. FY26A realised US$1,488/t against an SC6 CIF China benchmark near US$2,200/t.</t>
  </si>
  <si>
    <t xml:space="preserve">Revenue build</t>
  </si>
  <si>
    <t xml:space="preserve">Volume x realised price by asset, reconciled to reported revenue</t>
  </si>
  <si>
    <t xml:space="preserve">Volumes by asset (kt)</t>
  </si>
  <si>
    <t xml:space="preserve">Total concentrate sold (kt)</t>
  </si>
  <si>
    <t xml:space="preserve">Price realisation</t>
  </si>
  <si>
    <t xml:space="preserve">Realised price (US$/t)</t>
  </si>
  <si>
    <t xml:space="preserve">AUD/USD</t>
  </si>
  <si>
    <t xml:space="preserve">Revenue (A$m)</t>
  </si>
  <si>
    <t xml:space="preserve">Gross concentrate revenue</t>
  </si>
  <si>
    <t xml:space="preserve">   Freight, moisture and timing adjustment (% of gross)</t>
  </si>
  <si>
    <t xml:space="preserve">Calibrated to reported revenue in FY25A and FY26A; held flat at 5.4% across the forecast</t>
  </si>
  <si>
    <t xml:space="preserve">Revenue</t>
  </si>
  <si>
    <t xml:space="preserve">   Memo: reported revenue (A$m)</t>
  </si>
  <si>
    <t xml:space="preserve">   Variance to reported</t>
  </si>
  <si>
    <t xml:space="preserve">The realisation adjustment captures freight to the customer's port, moisture and grade adjustments, and the timing lag between the reference price and shipment.</t>
  </si>
  <si>
    <t xml:space="preserve">Income statement</t>
  </si>
  <si>
    <t xml:space="preserve">FY24A-FY36F, A$m</t>
  </si>
  <si>
    <t xml:space="preserve">A$m</t>
  </si>
  <si>
    <t xml:space="preserve">   Operating costs (FOB)</t>
  </si>
  <si>
    <t xml:space="preserve">   State royalties</t>
  </si>
  <si>
    <t xml:space="preserve">   Corporate, administration and cost-definition reconciliation</t>
  </si>
  <si>
    <t xml:space="preserve">Historical columns absorb the difference between this simplified cost build and reported underlying EBITDA, so FY24A-FY26A tie exactly.</t>
  </si>
  <si>
    <t xml:space="preserve">EBITDA</t>
  </si>
  <si>
    <t xml:space="preserve">   EBITDA margin</t>
  </si>
  <si>
    <t xml:space="preserve">   Depreciation and amortisation</t>
  </si>
  <si>
    <t xml:space="preserve">EBIT</t>
  </si>
  <si>
    <t xml:space="preserve">   Net interest income / (expense)</t>
  </si>
  <si>
    <t xml:space="preserve">Profit before tax</t>
  </si>
  <si>
    <t xml:space="preserve">   Income tax expense</t>
  </si>
  <si>
    <t xml:space="preserve">NPAT</t>
  </si>
  <si>
    <t xml:space="preserve">Per share and returns</t>
  </si>
  <si>
    <t xml:space="preserve">EPS (A$)</t>
  </si>
  <si>
    <t xml:space="preserve">   Dividend payout ratio</t>
  </si>
  <si>
    <t xml:space="preserve">Policy is 20-30% of free cash flow; we step up to 50% from FY30 once the P2000 build is funded</t>
  </si>
  <si>
    <t xml:space="preserve">DPS (A$)</t>
  </si>
  <si>
    <t xml:space="preserve">   Total dividends (A$m)</t>
  </si>
  <si>
    <t xml:space="preserve">   Dividend yield on last close</t>
  </si>
  <si>
    <t xml:space="preserve">   Memo: reported underlying EBITDA (A$m)</t>
  </si>
  <si>
    <t xml:space="preserve">   Memo: reported NPAT (A$m)</t>
  </si>
  <si>
    <t xml:space="preserve">Balance sheet</t>
  </si>
  <si>
    <t xml:space="preserve">FY26A opening position rolled forward to FY36F, A$m</t>
  </si>
  <si>
    <t xml:space="preserve">Drivers</t>
  </si>
  <si>
    <t xml:space="preserve">   D&amp;A rate on opening PP&amp;E</t>
  </si>
  <si>
    <t xml:space="preserve">E  approximates an 8-9 year average remaining asset life</t>
  </si>
  <si>
    <t xml:space="preserve">   Interest earned on opening cash</t>
  </si>
  <si>
    <t xml:space="preserve">   Interest paid on opening debt</t>
  </si>
  <si>
    <t xml:space="preserve">Assets</t>
  </si>
  <si>
    <t xml:space="preserve">   Cash and cash equivalents</t>
  </si>
  <si>
    <t xml:space="preserve">   Net working capital</t>
  </si>
  <si>
    <t xml:space="preserve">   Property, plant and equipment (net)</t>
  </si>
  <si>
    <t xml:space="preserve">E  FY26A net book value - VERIFY against the annual report</t>
  </si>
  <si>
    <t xml:space="preserve">Total assets</t>
  </si>
  <si>
    <t xml:space="preserve">Liabilities and equity</t>
  </si>
  <si>
    <t xml:space="preserve">   Borrowings</t>
  </si>
  <si>
    <t xml:space="preserve">   Shareholders' equity</t>
  </si>
  <si>
    <t xml:space="preserve">Total liabilities and equity</t>
  </si>
  <si>
    <t xml:space="preserve">Balance check (must be nil)</t>
  </si>
  <si>
    <t xml:space="preserve">Memo</t>
  </si>
  <si>
    <t xml:space="preserve">   D&amp;A charge</t>
  </si>
  <si>
    <t xml:space="preserve">   Net cash / (net debt)</t>
  </si>
  <si>
    <t xml:space="preserve">   Return on equity</t>
  </si>
  <si>
    <t xml:space="preserve">   Return on invested capital (after tax)</t>
  </si>
  <si>
    <t xml:space="preserve">FY24A and FY25A balance sheets are not modelled; the DCF runs off the FY26A closing position.</t>
  </si>
  <si>
    <t xml:space="preserve">Cash flow statement</t>
  </si>
  <si>
    <t xml:space="preserve">FY26A opening cash rolled forward to FY36F, A$m</t>
  </si>
  <si>
    <t xml:space="preserve">Operating</t>
  </si>
  <si>
    <t xml:space="preserve">   EBITDA</t>
  </si>
  <si>
    <t xml:space="preserve">   Net interest received / (paid)</t>
  </si>
  <si>
    <t xml:space="preserve">   Tax paid</t>
  </si>
  <si>
    <t xml:space="preserve">   Movement in net working capital</t>
  </si>
  <si>
    <t xml:space="preserve">Operating cash flow</t>
  </si>
  <si>
    <t xml:space="preserve">Investing</t>
  </si>
  <si>
    <t xml:space="preserve">   Capital expenditure</t>
  </si>
  <si>
    <t xml:space="preserve">Free cash flow to the firm (pre-financing)</t>
  </si>
  <si>
    <t xml:space="preserve">Financing</t>
  </si>
  <si>
    <t xml:space="preserve">   Dividends paid</t>
  </si>
  <si>
    <t xml:space="preserve">   Net debt drawn / (repaid)</t>
  </si>
  <si>
    <t xml:space="preserve">E  base case assumes the US$600m notes are refinanced at maturity</t>
  </si>
  <si>
    <t xml:space="preserve">Net movement in cash</t>
  </si>
  <si>
    <t xml:space="preserve">   Opening cash</t>
  </si>
  <si>
    <t xml:space="preserve">Closing cash</t>
  </si>
  <si>
    <t xml:space="preserve">Tax paid is shown equal to the accrued charge; PLS carries franking credits and tax losses that in practice defer cash tax.</t>
  </si>
  <si>
    <t xml:space="preserve">Discounted cash flow</t>
  </si>
  <si>
    <t xml:space="preserve">Unlevered FCFF for the ACTIVE scenario, discounted at WACC on a mid-year convention</t>
  </si>
  <si>
    <t xml:space="preserve">   Less: tax on EBIT</t>
  </si>
  <si>
    <t xml:space="preserve">NOPAT</t>
  </si>
  <si>
    <t xml:space="preserve">   Add back: D&amp;A</t>
  </si>
  <si>
    <t xml:space="preserve">   Less: capital expenditure</t>
  </si>
  <si>
    <t xml:space="preserve">   Less: increase in net working capital</t>
  </si>
  <si>
    <t xml:space="preserve">Free cash flow to the firm</t>
  </si>
  <si>
    <t xml:space="preserve">   Discount period (mid-year, years)</t>
  </si>
  <si>
    <t xml:space="preserve">   Discount factor</t>
  </si>
  <si>
    <t xml:space="preserve">PV of FCFF</t>
  </si>
  <si>
    <t xml:space="preserve">Enterprise and equity value</t>
  </si>
  <si>
    <t xml:space="preserve">Sum of PV of explicit forecast FCFF</t>
  </si>
  <si>
    <t xml:space="preserve">Terminal growth rate</t>
  </si>
  <si>
    <t xml:space="preserve">Terminal year FCFF</t>
  </si>
  <si>
    <t xml:space="preserve">Cumulative ore mined to FY36 (Mt)</t>
  </si>
  <si>
    <t xml:space="preserve">Ore base remaining after FY36 (Mt)</t>
  </si>
  <si>
    <t xml:space="preserve">Terminal mining rate (Mt ore p.a.)</t>
  </si>
  <si>
    <t xml:space="preserve">Remaining mine life (years)</t>
  </si>
  <si>
    <t xml:space="preserve">The terminal value is an annuity over remaining ore, not a perpetuity: an orebody is finite</t>
  </si>
  <si>
    <t xml:space="preserve">Terminal annuity factor</t>
  </si>
  <si>
    <t xml:space="preserve">Terminal value at end of forecast</t>
  </si>
  <si>
    <t xml:space="preserve">PV of terminal value</t>
  </si>
  <si>
    <t xml:space="preserve">Enterprise value</t>
  </si>
  <si>
    <t xml:space="preserve">Terminal value as % of EV</t>
  </si>
  <si>
    <t xml:space="preserve">A lower share means less of the answer rests on the terminal assumption</t>
  </si>
  <si>
    <t xml:space="preserve">Add: net cash / (net debt)</t>
  </si>
  <si>
    <t xml:space="preserve">Equity value</t>
  </si>
  <si>
    <t xml:space="preserve">Value per share (A$)</t>
  </si>
  <si>
    <t xml:space="preserve">Last close (A$)</t>
  </si>
  <si>
    <t xml:space="preserve">Implied upside / (downside)</t>
  </si>
  <si>
    <t xml:space="preserve">Mid-year convention assumes cash flows arrive evenly through each financial year. The stub from the 5-Sep-26 valuation date to 30-Jun-27 is not discounted separately; the effect is immaterial at this WACC.</t>
  </si>
  <si>
    <t xml:space="preserve">Scenario engine</t>
  </si>
  <si>
    <t xml:space="preserve">A compact FCFF for each case, computed directly off the Deck's three scenario blocks, so all three values are live at once. The detailed statements show whichever case the switch selects.</t>
  </si>
  <si>
    <t xml:space="preserve">BEAR CASE  (A$m unless stated)</t>
  </si>
  <si>
    <t xml:space="preserve">   Realised price (US$/t)</t>
  </si>
  <si>
    <t xml:space="preserve">   Realised price (A$/t)</t>
  </si>
  <si>
    <t xml:space="preserve">   Unit operating cost (A$/t)</t>
  </si>
  <si>
    <t xml:space="preserve">   Operating costs</t>
  </si>
  <si>
    <t xml:space="preserve">   Royalties</t>
  </si>
  <si>
    <t xml:space="preserve">   Corporate and admin</t>
  </si>
  <si>
    <t xml:space="preserve">   PP&amp;E (closing)</t>
  </si>
  <si>
    <t xml:space="preserve">   D&amp;A</t>
  </si>
  <si>
    <t xml:space="preserve">   NOPAT</t>
  </si>
  <si>
    <t xml:space="preserve">FCFF</t>
  </si>
  <si>
    <t xml:space="preserve">PV of explicit FCFF</t>
  </si>
  <si>
    <t xml:space="preserve">Terminal growth</t>
  </si>
  <si>
    <t xml:space="preserve">Memo: growing perpetuity alternative</t>
  </si>
  <si>
    <t xml:space="preserve">Net cash</t>
  </si>
  <si>
    <t xml:space="preserve">Upside to last close</t>
  </si>
  <si>
    <t xml:space="preserve">BASE CASE  (A$m unless stated)</t>
  </si>
  <si>
    <t xml:space="preserve">BULL CASE  (A$m unless stated)</t>
  </si>
  <si>
    <t xml:space="preserve">Scenario summary</t>
  </si>
  <si>
    <t xml:space="preserve">All three cases valued live, then probability weighted</t>
  </si>
  <si>
    <t xml:space="preserve">Weighted</t>
  </si>
  <si>
    <t xml:space="preserve">Probability weighting</t>
  </si>
  <si>
    <t xml:space="preserve">Equity value (A$m)</t>
  </si>
  <si>
    <t xml:space="preserve">Upside / (downside) to last close</t>
  </si>
  <si>
    <t xml:space="preserve">Operating metrics at FY30</t>
  </si>
  <si>
    <t xml:space="preserve">Unit cost (A$/t)</t>
  </si>
  <si>
    <t xml:space="preserve">EBITDA (A$m)</t>
  </si>
  <si>
    <t xml:space="preserve">Narrative</t>
  </si>
  <si>
    <t xml:space="preserve">Restart supply from Bald Hill, Finniss and Jianxiawo overwhelms demand. Price reverts toward the 90th-percentile cash cost. No P2000 FID, no Colina, Ngungaju re-idled from FY30.</t>
  </si>
  <si>
    <t xml:space="preserve">Prices ease from the June-2026 quarter peak as restart tonnes land, then recover as the surplus narrows. P2000 is sanctioned in late 2026 for first ore mid-2029; Colina follows the Dec-2027 study.</t>
  </si>
  <si>
    <t xml:space="preserve">The 2027-29 deficit called by Fastmarkets, Morgan Stanley and UBS arrives. Prices clear at the level needed to fund new supply. P2000 and Colina both proceed, on schedule.</t>
  </si>
  <si>
    <t xml:space="preserve">Sensitivity analysis</t>
  </si>
  <si>
    <t xml:space="preserve">Base-case value per share under alternative cost of capital, growth, price and cost</t>
  </si>
  <si>
    <t xml:space="preserve">1.  Value per share (A$) - WACC vs remaining mine life</t>
  </si>
  <si>
    <t xml:space="preserve">Remaining mine life (yrs)  \  WACC</t>
  </si>
  <si>
    <t xml:space="preserve">Base case sits at WACC 8.88% and a terminal life derived from the remaining ore base (highlighted).</t>
  </si>
  <si>
    <t xml:space="preserve">2.  Linear price and cost sensitivity coefficients</t>
  </si>
  <si>
    <t xml:space="preserve">Base case, per forecast year</t>
  </si>
  <si>
    <t xml:space="preserve">Discount factor</t>
  </si>
  <si>
    <t xml:space="preserve">   PV of a 100% price change (A$m)</t>
  </si>
  <si>
    <t xml:space="preserve">   PV of a 100% unit-cost change (A$m)</t>
  </si>
  <si>
    <t xml:space="preserve">Price coefficient K(price), incl. terminal value</t>
  </si>
  <si>
    <t xml:space="preserve">Cost coefficient K(cost), incl. terminal value</t>
  </si>
  <si>
    <t xml:space="preserve">3.  Value per share (A$) - realised price vs unit operating cost</t>
  </si>
  <si>
    <t xml:space="preserve">Unit cost change  \  Realised price change</t>
  </si>
  <si>
    <t xml:space="preserve">Grid 3 applies a proportional shift to every forecast year. It flows price through the realisation adjustment, royalty and tax, and captures the effect on terminal value; it holds volume, capex and working capital unchanged.</t>
  </si>
  <si>
    <t xml:space="preserve">Read across the top row of grid 3 for the commodity call, and down the left column for operational delivery. The pitch stands or falls on the top-left quadrant.</t>
  </si>
  <si>
    <t xml:space="preserve">Sum of the parts</t>
  </si>
  <si>
    <t xml:space="preserve">Risked net asset value as a cross-check on the consolidated DCF</t>
  </si>
  <si>
    <t xml:space="preserve">Asset</t>
  </si>
  <si>
    <t xml:space="preserve">Unrisked A$m</t>
  </si>
  <si>
    <t xml:space="preserve">Risking</t>
  </si>
  <si>
    <t xml:space="preserve">Risked A$m</t>
  </si>
  <si>
    <t xml:space="preserve">A$/share</t>
  </si>
  <si>
    <t xml:space="preserve">Basis</t>
  </si>
  <si>
    <t xml:space="preserve">Pilgangoora - Pilgan plant</t>
  </si>
  <si>
    <t xml:space="preserve">In production, ~920ktpa steady state. Carried at the DCF value of the producing base.</t>
  </si>
  <si>
    <t xml:space="preserve">Ngungaju plant</t>
  </si>
  <si>
    <t xml:space="preserve">Restarted July 2026, ~195ktpa. Small risking for ramp-up execution.</t>
  </si>
  <si>
    <t xml:space="preserve">P2000 expansion</t>
  </si>
  <si>
    <t xml:space="preserve">PFS incremental NPV A$2.6bn, 55% IRR. Risked for an FID that has not been taken; DFS due Dec-qtr 2026.</t>
  </si>
  <si>
    <t xml:space="preserve">Colina, Brazil</t>
  </si>
  <si>
    <t xml:space="preserve">77.7Mt at 1.24% Li2O. DFS only due Dec-qtr 2027, no FID, no permits. Heavily risked.</t>
  </si>
  <si>
    <t xml:space="preserve">Mid-stream plant (Calix)</t>
  </si>
  <si>
    <t xml:space="preserve">Demonstration scale, opened Jun-26, first production guided Sep-qtr 2026. Optionality, not yet earnings.</t>
  </si>
  <si>
    <t xml:space="preserve">POSCO JV, 18% of PPLS</t>
  </si>
  <si>
    <t xml:space="preserve">18% of a 43ktpa lithium hydroxide facility at Gwangyang, with an option to move to 30%.</t>
  </si>
  <si>
    <t xml:space="preserve">Exploration and other tenements</t>
  </si>
  <si>
    <t xml:space="preserve">Includes the tenements acquired adjacent to Colina.</t>
  </si>
  <si>
    <t xml:space="preserve">Corporate costs, capitalised</t>
  </si>
  <si>
    <t xml:space="preserve">Present value of unallocated corporate and administration costs.</t>
  </si>
  <si>
    <t xml:space="preserve">Enterprise NAV</t>
  </si>
  <si>
    <t xml:space="preserve">Equity NAV</t>
  </si>
  <si>
    <t xml:space="preserve">Premium / (discount) of last close to NAV</t>
  </si>
  <si>
    <t xml:space="preserve">The SOTP is a cross-check, not the primary method. Asset NPVs are our own estimates built from the same</t>
  </si>
  <si>
    <t xml:space="preserve">price deck and discount rate as the consolidated DCF, except P2000 which uses the company's own PFS figure.</t>
  </si>
  <si>
    <t xml:space="preserve">Risk weightings are judgement: P2000 at 70% reflects a study due in the December 2026 quarter and a board</t>
  </si>
  <si>
    <t xml:space="preserve">that has already committed A$175m of pre-FID capital; Colina at 40% reflects a study still a year further out.</t>
  </si>
  <si>
    <t xml:space="preserve">Trading comparables</t>
  </si>
  <si>
    <t xml:space="preserve">The case's own six-stock peer set, then lithium pure-plays</t>
  </si>
  <si>
    <t xml:space="preserve">The case peer set  (figures as reported around Aug-Sep 2026; vendors disagree - see Sources)</t>
  </si>
  <si>
    <t xml:space="preserve">Company</t>
  </si>
  <si>
    <t xml:space="preserve">Commodity exposure</t>
  </si>
  <si>
    <t xml:space="preserve">Mkt cap A$m</t>
  </si>
  <si>
    <t xml:space="preserve">EV A$m</t>
  </si>
  <si>
    <t xml:space="preserve">FY26 EBITDA A$m</t>
  </si>
  <si>
    <t xml:space="preserve">EV/EBITDA</t>
  </si>
  <si>
    <t xml:space="preserve">P/E fwd</t>
  </si>
  <si>
    <t xml:space="preserve">Div yield</t>
  </si>
  <si>
    <t xml:space="preserve">Consensus</t>
  </si>
  <si>
    <t xml:space="preserve">BHP Group</t>
  </si>
  <si>
    <t xml:space="preserve">Iron ore, copper, met coal, potash</t>
  </si>
  <si>
    <t xml:space="preserve">n/a</t>
  </si>
  <si>
    <t xml:space="preserve">Hold</t>
  </si>
  <si>
    <t xml:space="preserve">Rio Tinto</t>
  </si>
  <si>
    <t xml:space="preserve">Iron ore, aluminium, copper, lithium</t>
  </si>
  <si>
    <t xml:space="preserve">Fortescue</t>
  </si>
  <si>
    <t xml:space="preserve">Iron ore, green energy</t>
  </si>
  <si>
    <t xml:space="preserve">Neutral</t>
  </si>
  <si>
    <t xml:space="preserve">South32</t>
  </si>
  <si>
    <t xml:space="preserve">Alumina, aluminium, base metals</t>
  </si>
  <si>
    <t xml:space="preserve">Buy</t>
  </si>
  <si>
    <t xml:space="preserve">Mineral Resources</t>
  </si>
  <si>
    <t xml:space="preserve">Lithium, iron ore, mining services</t>
  </si>
  <si>
    <t xml:space="preserve">Peer median</t>
  </si>
  <si>
    <t xml:space="preserve">PLS Group valued against the peer median</t>
  </si>
  <si>
    <t xml:space="preserve">FY27E EBITDA, base case (A$m)</t>
  </si>
  <si>
    <t xml:space="preserve">Multiple applied - low</t>
  </si>
  <si>
    <t xml:space="preserve">Multiple applied - high</t>
  </si>
  <si>
    <t xml:space="preserve">Implied value per share - low (A$)</t>
  </si>
  <si>
    <t xml:space="preserve">Implied value per share - high (A$)</t>
  </si>
  <si>
    <t xml:space="preserve">Midpoint (A$)</t>
  </si>
  <si>
    <t xml:space="preserve">Why a premium to the diversified peer median is warranted, and why it is capped.</t>
  </si>
  <si>
    <t xml:space="preserve">PLS is not a mature cash-return miner. Base-case volumes rise from 1,065kt in FY27 to 2,350kt by FY33, so a</t>
  </si>
  <si>
    <t xml:space="preserve">single-year forward multiple understates it - the diversified peers on this page are growing volumes at low</t>
  </si>
  <si>
    <t xml:space="preserve">single digits. Against that, PLS carries single-commodity risk and a price series that has moved by a factor of</t>
  </si>
  <si>
    <t xml:space="preserve">three inside two years. We therefore apply 8.0x to 11.0x, a premium to the ~7.8x peer median but well below the</t>
  </si>
  <si>
    <t xml:space="preserve">26.8x PLS itself traded at on trailing FY26 EBITDA before the earnings recovery came through.</t>
  </si>
  <si>
    <t xml:space="preserve">Precedent transactions</t>
  </si>
  <si>
    <t xml:space="preserve">Lithium M&amp;A, 2023-2026</t>
  </si>
  <si>
    <t xml:space="preserve">Completed</t>
  </si>
  <si>
    <t xml:space="preserve">Acquirer</t>
  </si>
  <si>
    <t xml:space="preserve">Target</t>
  </si>
  <si>
    <t xml:space="preserve">Value</t>
  </si>
  <si>
    <t xml:space="preserve">Structure</t>
  </si>
  <si>
    <t xml:space="preserve">Rationale and terms</t>
  </si>
  <si>
    <t xml:space="preserve">Mar-2025</t>
  </si>
  <si>
    <t xml:space="preserve">Arcadium Lithium</t>
  </si>
  <si>
    <t xml:space="preserve">US$6.7bn</t>
  </si>
  <si>
    <t xml:space="preserve">All cash</t>
  </si>
  <si>
    <t xml:space="preserve">US$5.85/share. Rio becomes the third-largest global lithium producer; adds Rincon, Olaroz, Mt Cattlin, Fenix, James Bay.</t>
  </si>
  <si>
    <t xml:space="preserve">Jan-2025</t>
  </si>
  <si>
    <t xml:space="preserve">PLS Group</t>
  </si>
  <si>
    <t xml:space="preserve">Latin Resources</t>
  </si>
  <si>
    <t xml:space="preserve">A$560m</t>
  </si>
  <si>
    <t xml:space="preserve">All scrip</t>
  </si>
  <si>
    <t xml:space="preserve">0.07 PLS shares per LRS share. Adds the Colina project in Brazil and preserves PLS's net cash position.</t>
  </si>
  <si>
    <t xml:space="preserve">May-2026</t>
  </si>
  <si>
    <t xml:space="preserve">Zhejiang Huayou Cobalt</t>
  </si>
  <si>
    <t xml:space="preserve">Atlantic Lithium</t>
  </si>
  <si>
    <t xml:space="preserve">US$210m</t>
  </si>
  <si>
    <t xml:space="preserve">US$0.25486/share, a 26.6% premium. Reported explicitly as a price-rebound-driven acquisition of Ewoyaa, Ghana.</t>
  </si>
  <si>
    <t xml:space="preserve">Aug-2025</t>
  </si>
  <si>
    <t xml:space="preserve">Sayona Mining</t>
  </si>
  <si>
    <t xml:space="preserve">Piedmont Lithium</t>
  </si>
  <si>
    <t xml:space="preserve">n/d</t>
  </si>
  <si>
    <t xml:space="preserve">Merger of equals</t>
  </si>
  <si>
    <t xml:space="preserve">50/50 equity split creating Elevra Lithium. Both were sub-scale standalone through the price trough.</t>
  </si>
  <si>
    <t xml:space="preserve">May-2024</t>
  </si>
  <si>
    <t xml:space="preserve">SQM and Hancock</t>
  </si>
  <si>
    <t xml:space="preserve">Azure Minerals</t>
  </si>
  <si>
    <t xml:space="preserve">A$1.7bn</t>
  </si>
  <si>
    <t xml:space="preserve">Scheme, cash</t>
  </si>
  <si>
    <t xml:space="preserve">A$3.70/share. Gives SQM its first Australian hard-rock foothold at Andover.</t>
  </si>
  <si>
    <t xml:space="preserve">Oct-2023</t>
  </si>
  <si>
    <t xml:space="preserve">Albemarle (withdrawn)</t>
  </si>
  <si>
    <t xml:space="preserve">Liontown Resources</t>
  </si>
  <si>
    <t xml:space="preserve">A$6.6bn</t>
  </si>
  <si>
    <t xml:space="preserve">Cash, lapsed</t>
  </si>
  <si>
    <t xml:space="preserve">A$3.00/share, nearly double the pre-bid price. Collapsed after Hancock built a 19.9% blocking stake.</t>
  </si>
  <si>
    <t xml:space="preserve">Jan-2024</t>
  </si>
  <si>
    <t xml:space="preserve">Livent</t>
  </si>
  <si>
    <t xml:space="preserve">Allkem</t>
  </si>
  <si>
    <t xml:space="preserve">US$10.6bn</t>
  </si>
  <si>
    <t xml:space="preserve">Created Arcadium Lithium, the entity Rio Tinto acquired 14 months later.</t>
  </si>
  <si>
    <t xml:space="preserve">Oct-2025</t>
  </si>
  <si>
    <t xml:space="preserve">Ganfeng Lithium</t>
  </si>
  <si>
    <t xml:space="preserve">Leo Lithium (Goulamina 40%)</t>
  </si>
  <si>
    <t xml:space="preserve">US$343m</t>
  </si>
  <si>
    <t xml:space="preserve">Staged cash</t>
  </si>
  <si>
    <t xml:space="preserve">Consolidates operating control of Goulamina in Mali, plus a 1.5% gross revenue royalty for 20 years.</t>
  </si>
  <si>
    <t xml:space="preserve">Applying a control premium to PLS</t>
  </si>
  <si>
    <t xml:space="preserve">Base-case value per share (A$)</t>
  </si>
  <si>
    <t xml:space="preserve">Control premium observed in completed lithium deals</t>
  </si>
  <si>
    <t xml:space="preserve">Huayou / Atlantic Lithium, May-2026, the most recent completed cash deal with a disclosed premium</t>
  </si>
  <si>
    <t xml:space="preserve">Implied takeout value per share (A$)</t>
  </si>
  <si>
    <t xml:space="preserve">A control premium is a reference point, not our target. PLS at ~A$17.6bn is large for this sector: the biggest</t>
  </si>
  <si>
    <t xml:space="preserve">completed lithium deal on this page, Rio Tinto and Arcadium, was US$6.7bn. Consolidation in 2026 has run through</t>
  </si>
  <si>
    <t xml:space="preserve">sub-scale developers rather than producers of PLS's size. We show the premium to frame downside support, not to</t>
  </si>
  <si>
    <t xml:space="preserve">argue PLS is a target.</t>
  </si>
  <si>
    <t xml:space="preserve">EV/resource multiples were deliberately left out: the disclosed resource statements for these targets are not on a</t>
  </si>
  <si>
    <t xml:space="preserve">consistent basis (JORC vs exploration target, ore tonnes vs LCE), so any multiple built from them would be spurious.</t>
  </si>
  <si>
    <t xml:space="preserve">Valuation summary</t>
  </si>
  <si>
    <t xml:space="preserve">Range by methodology, and the weighted 12-month target price</t>
  </si>
  <si>
    <t xml:space="preserve">Methodology</t>
  </si>
  <si>
    <t xml:space="preserve">Low (A$)</t>
  </si>
  <si>
    <t xml:space="preserve">High (A$)</t>
  </si>
  <si>
    <t xml:space="preserve">Midpoint</t>
  </si>
  <si>
    <t xml:space="preserve">Weight</t>
  </si>
  <si>
    <t xml:space="preserve">DCF - base case</t>
  </si>
  <si>
    <t xml:space="preserve">WACC 8.88% built from the case's prescribed CAPM inputs. Terminal value is an annuity over the remaining ore base, not a growing perpetuity - an orebody is finite</t>
  </si>
  <si>
    <t xml:space="preserve">DCF - probability weighted (25/50/25)</t>
  </si>
  <si>
    <t xml:space="preserve">Reference. Shown so the reader can see what the bear case does to the expected value</t>
  </si>
  <si>
    <t xml:space="preserve">DCF - scenario range</t>
  </si>
  <si>
    <t xml:space="preserve">Bear to bull. Shown to frame asymmetry - the point estimate above already sits inside this range</t>
  </si>
  <si>
    <t xml:space="preserve">8.0x to 11.0x FY27E EBITDA against a diversified peer median near 7.8x</t>
  </si>
  <si>
    <t xml:space="preserve">Reference only. Transaction EV/EBITDA could not be sourced on a consistent basis, and applying a premium to our own DCF would be circular</t>
  </si>
  <si>
    <t xml:space="preserve">Broker target range (individual analysts)</t>
  </si>
  <si>
    <t xml:space="preserve">Full individual spread across 17-20 analysts, Aug-Sep 2026. Vendor averages cluster A$4.50-5.70; our A$6.12 sits inside the individual range, below the most bullish. Reference only</t>
  </si>
  <si>
    <t xml:space="preserve">52-week trading range</t>
  </si>
  <si>
    <t xml:space="preserve">Where the market has actually traded - reference only</t>
  </si>
  <si>
    <t xml:space="preserve">Total weight</t>
  </si>
  <si>
    <t xml:space="preserve">12-month target price (A$)</t>
  </si>
  <si>
    <t xml:space="preserve">Plus forecast FY27 dividend yield</t>
  </si>
  <si>
    <t xml:space="preserve">Implied 12-month total return</t>
  </si>
  <si>
    <t xml:space="preserve">S&amp;P/ASX 200 return, FY26 (benchmark)</t>
  </si>
  <si>
    <t xml:space="preserve">Implied outperformance</t>
  </si>
  <si>
    <t xml:space="preserve">The DCF carries 60% because it is the only method that prices the volume growth from P2000 and Colina. Comparables carry 40% as the discipline of what the market pays for a producing miner today. Precedents, consensus and the trading range are shown but not weighted.</t>
  </si>
  <si>
    <t xml:space="preserve">Shared value bridge</t>
  </si>
  <si>
    <t xml:space="preserve">Converting each ESG lever into A$ per share, so the shared-value case is priced rather than asserted</t>
  </si>
  <si>
    <t xml:space="preserve">PV of A$1/t of sustained unit-margin improvement</t>
  </si>
  <si>
    <t xml:space="preserve">Concentrate sold, base case (kt)</t>
  </si>
  <si>
    <t xml:space="preserve">   PV of A$1/t in that year (A$m)</t>
  </si>
  <si>
    <t xml:space="preserve">Coefficient: A$m of equity value per A$1/t, incl. terminal value</t>
  </si>
  <si>
    <t xml:space="preserve">Lever</t>
  </si>
  <si>
    <t xml:space="preserve">Mechanism</t>
  </si>
  <si>
    <t xml:space="preserve">A$/t</t>
  </si>
  <si>
    <t xml:space="preserve">A$/sh</t>
  </si>
  <si>
    <t xml:space="preserve">Evidence</t>
  </si>
  <si>
    <t xml:space="preserve">Source anchor</t>
  </si>
  <si>
    <t xml:space="preserve">Sensor-based ore sorting (P680)</t>
  </si>
  <si>
    <t xml:space="preserve">TOMRA sorter rejects waste before energy-intensive downstream processing: fewer tonnes milled per tonne of Li2O, so both unit cost and energy per tonne of product fall together</t>
  </si>
  <si>
    <t xml:space="preserve">Strong</t>
  </si>
  <si>
    <t xml:space="preserve">World's largest lithium ore sorter, &gt;1,000t/hr, commissioned Aug-24 in the A$103m P680 project</t>
  </si>
  <si>
    <t xml:space="preserve">Power strategy: gas conversion, solar and BESS</t>
  </si>
  <si>
    <t xml:space="preserve">Displaces diesel generation at Pilgangoora; company targets ~48% lower power emissions intensity by 2027 and up to 80% by 2030 if regional wind becomes available</t>
  </si>
  <si>
    <t xml:space="preserve">Moderate</t>
  </si>
  <si>
    <t xml:space="preserve">8 new gas gensets plus LNG storage installed; BESS planned to firm future solar</t>
  </si>
  <si>
    <t xml:space="preserve">Mid-stream lithium phosphate (Calix)</t>
  </si>
  <si>
    <t xml:space="preserve">Electric calcination cuts calcination emissions by more than 80% and moves PLS one step down the value chain, capturing conversion margin rather than selling raw concentrate</t>
  </si>
  <si>
    <t xml:space="preserve">-</t>
  </si>
  <si>
    <t xml:space="preserve">see below</t>
  </si>
  <si>
    <t xml:space="preserve">100%-owned demonstration plant opened 5-Jun-26; first production guided Sep-qtr 2026; ARENA-backed</t>
  </si>
  <si>
    <t xml:space="preserve">Social licence protecting the growth option</t>
  </si>
  <si>
    <t xml:space="preserve">Heritage and community standing keep P2000 and Colina permittable on schedule; the PFS values the P2000 increment at A$2.6bn NPV, so schedule protection is worth real money</t>
  </si>
  <si>
    <t xml:space="preserve">P2000 PFS: A$2.6bn incremental NPV, 55% IRR, first ore guided mid-2029</t>
  </si>
  <si>
    <t xml:space="preserve">Low-carbon, non-China supply access</t>
  </si>
  <si>
    <t xml:space="preserve">EU Battery Regulation carbon declarations and US FEOC rules favour traceable, low-carbon, non-China units; PLS supplies a Korean JV rather than only Chinese converters</t>
  </si>
  <si>
    <t xml:space="preserve">Weak</t>
  </si>
  <si>
    <t xml:space="preserve">No verified carbon-linked price premium in PLS's disclosed contracts - flagged as unproven</t>
  </si>
  <si>
    <t xml:space="preserve">Total quantified unit-margin levers</t>
  </si>
  <si>
    <t xml:space="preserve">Schedule protection: what social licence is worth on the P2000 option</t>
  </si>
  <si>
    <t xml:space="preserve">P2000 incremental NPV (PFS, June 2024)</t>
  </si>
  <si>
    <t xml:space="preserve">PLS P2000 Pre-Feasibility Study: A$2.6bn incremental NPV, 55% IRR</t>
  </si>
  <si>
    <t xml:space="preserve">Permitting / heritage delay avoided (years)</t>
  </si>
  <si>
    <t xml:space="preserve">A two-year slip is the observed order of magnitude for WA heritage and approvals disputes</t>
  </si>
  <si>
    <t xml:space="preserve">Value of avoiding that delay (A$m)</t>
  </si>
  <si>
    <t xml:space="preserve">Per share (A$)</t>
  </si>
  <si>
    <t xml:space="preserve">Total shared-value contribution</t>
  </si>
  <si>
    <t xml:space="preserve">Unit-margin levers (A$/share)</t>
  </si>
  <si>
    <t xml:space="preserve">Growth-option schedule protection (A$/share)</t>
  </si>
  <si>
    <t xml:space="preserve">Shared value embedded in the target price (A$/share)</t>
  </si>
  <si>
    <t xml:space="preserve">Shared value as a share of the target price</t>
  </si>
  <si>
    <t xml:space="preserve">THIS IS AN ATTRIBUTION, NOT AN ADDITION.</t>
  </si>
  <si>
    <t xml:space="preserve">Nothing on this sheet is added to the DCF. The ore-sorting and power benefits are already inside the</t>
  </si>
  <si>
    <t xml:space="preserve">A$569/t FY26 unit cost and the A$575-625/t FY27 guidance that the model discounts, and the P2000 schedule</t>
  </si>
  <si>
    <t xml:space="preserve">is already in the production profile. Adding them again would double-count the same cash flow once through</t>
  </si>
  <si>
    <t xml:space="preserve">FCFF and once through narrative. What the bridge does is decompose the valuation we have already struck and</t>
  </si>
  <si>
    <t xml:space="preserve">ask: how much of it exists because of ESG-linked operating decisions? The answer is A$0.43 per share - which</t>
  </si>
  <si>
    <t xml:space="preserve">is 4.6% of the A$6.12 target, but 67% of the A$0.64 of upside between the last close and that target.</t>
  </si>
  <si>
    <t xml:space="preserve">Two levers are deliberately carried at nil. The Calix mid-stream plant is real and opened in June 2026, but</t>
  </si>
  <si>
    <t xml:space="preserve">first production is only guided for the September 2026 quarter, so we do not capitalise a margin we have not</t>
  </si>
  <si>
    <t xml:space="preserve">seen. A carbon-linked price premium is frequently claimed across this sector; we found no verified premium in</t>
  </si>
  <si>
    <t xml:space="preserve">PLS's disclosed contracts, so we score it as unproven and value it at zero rather than manufacture a number.</t>
  </si>
  <si>
    <t xml:space="preserve">The low-carbon downstream option</t>
  </si>
  <si>
    <t xml:space="preserve">Sized deliberately OUTSIDE the target price. This is where the shared value actually is.</t>
  </si>
  <si>
    <t xml:space="preserve">Why this sits outside the target. None of the three levers below is earning yet: the mid-stream plant</t>
  </si>
  <si>
    <t xml:space="preserve">produces its first lithium phosphate in the September 2026 quarter, the POSCO joint venture is still ramping,</t>
  </si>
  <si>
    <t xml:space="preserve">and we found no verified carbon-linked premium in any disclosed PLS contract. We size them here so the reader</t>
  </si>
  <si>
    <t xml:space="preserve">can see the prize, and we keep them out of the A$6.12 target so the recommendation does not depend on them.</t>
  </si>
  <si>
    <t xml:space="preserve">Volume</t>
  </si>
  <si>
    <t xml:space="preserve">Unit margin</t>
  </si>
  <si>
    <t xml:space="preserve">EBITDA A$m</t>
  </si>
  <si>
    <t xml:space="preserve">Multiple</t>
  </si>
  <si>
    <t xml:space="preserve">NPV A$m</t>
  </si>
  <si>
    <t xml:space="preserve">Mid-stream lithium phosphate</t>
  </si>
  <si>
    <t xml:space="preserve">kt of concentrate calcined in-house (20% of a 2Mtpa base), at the conversion margin retained rather than ceded to a third-party converter</t>
  </si>
  <si>
    <t xml:space="preserve">POSCO JV equity earnings</t>
  </si>
  <si>
    <t xml:space="preserve">ktpa lithium hydroxide at Gwangyang, A$/t conversion margin, PLS share 18%. PLS holds an option to lift that stake to 30%.</t>
  </si>
  <si>
    <t xml:space="preserve">Low-carbon qualification premium</t>
  </si>
  <si>
    <t xml:space="preserve">kt of qualified volume at an A$/t premium. Illustrative only: no verified carbon-linked premium exists in PLS's disclosed contracts today.</t>
  </si>
  <si>
    <t xml:space="preserve">Unrisked total</t>
  </si>
  <si>
    <t xml:space="preserve">Risking and per-share value</t>
  </si>
  <si>
    <t xml:space="preserve">Probability</t>
  </si>
  <si>
    <t xml:space="preserve">Plant is built and commissioned; first product due Sep-qtr 2026. Scale-up beyond the demonstration unit is not funded.</t>
  </si>
  <si>
    <t xml:space="preserve">Both trains built; Train 2 ramping. Lowest execution risk of the three.</t>
  </si>
  <si>
    <t xml:space="preserve">Directionally supported by EU and US policy, but unproven in PLS's contracts. Priced sceptically.</t>
  </si>
  <si>
    <t xml:space="preserve">Risked downstream option</t>
  </si>
  <si>
    <t xml:space="preserve">What this does to the recommendation</t>
  </si>
  <si>
    <t xml:space="preserve">Upside in the target (A$/share)</t>
  </si>
  <si>
    <t xml:space="preserve">Shared value already inside the target (A$/share)</t>
  </si>
  <si>
    <t xml:space="preserve">Share of the upside attributable to shared value</t>
  </si>
  <si>
    <t xml:space="preserve">Plus the downstream option, outside the target (A$/share)</t>
  </si>
  <si>
    <t xml:space="preserve">Target plus the risked option (A$/share)</t>
  </si>
  <si>
    <t xml:space="preserve">The point of this sheet. Measured against the A$6.12 target, the shared-value bridge looks like a rounding</t>
  </si>
  <si>
    <t xml:space="preserve">adjustment. Measured against the UPSIDE - the A$0.64 per share between the last close and the target - it is</t>
  </si>
  <si>
    <t xml:space="preserve">most of the investment case. The market is paying for a lithium miner. We are paying for the operator whose</t>
  </si>
  <si>
    <t xml:space="preserve">carbon position and downstream reach let it sell tonnes the others cannot. That gap is the recommendation.</t>
  </si>
  <si>
    <t xml:space="preserve">Against the fund's benchmark and mandate</t>
  </si>
  <si>
    <t xml:space="preserve">Mandate</t>
  </si>
  <si>
    <t xml:space="preserve">Case p.4</t>
  </si>
  <si>
    <t xml:space="preserve">Case p.4 - beat the index by 2.0%</t>
  </si>
  <si>
    <t xml:space="preserve">Outperformance the fund must repeat</t>
  </si>
  <si>
    <t xml:space="preserve">This recommendation</t>
  </si>
  <si>
    <t xml:space="preserve">Entry price (A$)</t>
  </si>
  <si>
    <t xml:space="preserve">12-month target (A$)</t>
  </si>
  <si>
    <t xml:space="preserve">Capital return</t>
  </si>
  <si>
    <t xml:space="preserve">Dividend yield, FY27E</t>
  </si>
  <si>
    <t xml:space="preserve">Total shareholder return, 12 months</t>
  </si>
  <si>
    <t xml:space="preserve">Excess return over benchmark</t>
  </si>
  <si>
    <t xml:space="preserve">Multi-year hold</t>
  </si>
  <si>
    <t xml:space="preserve">Bear case value per share (A$)</t>
  </si>
  <si>
    <t xml:space="preserve">Base case value per share (A$)</t>
  </si>
  <si>
    <t xml:space="preserve">Bull case value per share (A$)</t>
  </si>
  <si>
    <t xml:space="preserve">Downside to bear</t>
  </si>
  <si>
    <t xml:space="preserve">Upside to bull</t>
  </si>
  <si>
    <t xml:space="preserve">Reward-to-risk ratio</t>
  </si>
  <si>
    <t xml:space="preserve">Upside to bull divided by downside to bear</t>
  </si>
  <si>
    <t xml:space="preserve">Stress test: does the bear case clear the price the market actually printed?</t>
  </si>
  <si>
    <t xml:space="preserve">52-week low, actually traded (A$)</t>
  </si>
  <si>
    <t xml:space="preserve">Reached when spodumene was at its trough</t>
  </si>
  <si>
    <t xml:space="preserve">Our bear case (A$)</t>
  </si>
  <si>
    <t xml:space="preserve">Bear case premium to the traded low</t>
  </si>
  <si>
    <t xml:space="preserve">At the A$1.91 low the company held A$974m of cash and was loss-making. It now holds A$2,290m and earned</t>
  </si>
  <si>
    <t xml:space="preserve">A$526m. Our bear case assumes prices revert to the marginal cost, P2000 is never sanctioned, Colina never</t>
  </si>
  <si>
    <t xml:space="preserve">proceeds and volumes stay flat for a decade - all at once. Reaching the old low from here would take</t>
  </si>
  <si>
    <t xml:space="preserve">conditions materially worse than the trough the market has already lived through.</t>
  </si>
  <si>
    <t xml:space="preserve">A long-only fund benchmarked to the ASX 200 needs positions where the asymmetry, not just the point estimate, is favourable.</t>
  </si>
  <si>
    <t xml:space="preserve">Source register</t>
  </si>
  <si>
    <t xml:space="preserve">Provenance for every input. Tags: A actual, G guidance, M market, D derived, E our estimate, C prescribed by the case</t>
  </si>
  <si>
    <t xml:space="preserve">Input</t>
  </si>
  <si>
    <t xml:space="preserve">Tag</t>
  </si>
  <si>
    <t xml:space="preserve">Source</t>
  </si>
  <si>
    <t xml:space="preserve">5.00%</t>
  </si>
  <si>
    <t xml:space="preserve">C</t>
  </si>
  <si>
    <t xml:space="preserve">FMAA / Shared Value Project, Investing for the Future Case 2026, p.6 - prescribed</t>
  </si>
  <si>
    <t xml:space="preserve">6.00%</t>
  </si>
  <si>
    <t xml:space="preserve">FMAA case p.6 - prescribed</t>
  </si>
  <si>
    <t xml:space="preserve">0.73</t>
  </si>
  <si>
    <t xml:space="preserve">FMAA case p.6, sourced there to Yahoo Finance 5Y monthly</t>
  </si>
  <si>
    <t xml:space="preserve">Benchmark return FY26</t>
  </si>
  <si>
    <t xml:space="preserve">5.90%</t>
  </si>
  <si>
    <t xml:space="preserve">FMAA case p.4, S&amp;P/ASX 200</t>
  </si>
  <si>
    <t xml:space="preserve">Last close</t>
  </si>
  <si>
    <t xml:space="preserve">A$5.48</t>
  </si>
  <si>
    <t xml:space="preserve">M</t>
  </si>
  <si>
    <t xml:space="preserve">Market Index and Google Finance quote pages, early Sep-2026</t>
  </si>
  <si>
    <t xml:space="preserve">52-week range</t>
  </si>
  <si>
    <t xml:space="preserve">A$1.91 - A$6.81</t>
  </si>
  <si>
    <t xml:space="preserve">Market Index, ASX:PLS</t>
  </si>
  <si>
    <t xml:space="preserve">Shares on issue</t>
  </si>
  <si>
    <t xml:space="preserve">3,220m</t>
  </si>
  <si>
    <t xml:space="preserve">stockanalysis.com; consistent with ASX quotation notices (~3,223.6m)</t>
  </si>
  <si>
    <t xml:space="preserve">FY26 revenue</t>
  </si>
  <si>
    <t xml:space="preserve">A$1,934m</t>
  </si>
  <si>
    <t xml:space="preserve">A</t>
  </si>
  <si>
    <t xml:space="preserve">FY26 results, 24-Aug-2026; +152% YoY</t>
  </si>
  <si>
    <t xml:space="preserve">FY26 underlying EBITDA</t>
  </si>
  <si>
    <t xml:space="preserve">A$1,137m</t>
  </si>
  <si>
    <t xml:space="preserve">FY26 results; 59% margin</t>
  </si>
  <si>
    <t xml:space="preserve">FY26 statutory NPAT</t>
  </si>
  <si>
    <t xml:space="preserve">A$526m</t>
  </si>
  <si>
    <t xml:space="preserve">FY26 results</t>
  </si>
  <si>
    <t xml:space="preserve">FY26 production</t>
  </si>
  <si>
    <t xml:space="preserve">879.5kt</t>
  </si>
  <si>
    <t xml:space="preserve">FY26 results; +17%, beat guidance by ~10kt</t>
  </si>
  <si>
    <t xml:space="preserve">FY26 sales</t>
  </si>
  <si>
    <t xml:space="preserve">891.6kt</t>
  </si>
  <si>
    <t xml:space="preserve">FY26 realised price</t>
  </si>
  <si>
    <t xml:space="preserve">US$1,488/t</t>
  </si>
  <si>
    <t xml:space="preserve">FY26 results; +121% YoY</t>
  </si>
  <si>
    <t xml:space="preserve">Q4 FY26 realised price</t>
  </si>
  <si>
    <t xml:space="preserve">US$2,107/t actual grade; US$2,415/t SC6-equivalent</t>
  </si>
  <si>
    <t xml:space="preserve">June-2026 quarterly activities report</t>
  </si>
  <si>
    <t xml:space="preserve">FY26 unit operating cost</t>
  </si>
  <si>
    <t xml:space="preserve">A$569/t FOB</t>
  </si>
  <si>
    <t xml:space="preserve">FY26 results; -9% YoY</t>
  </si>
  <si>
    <t xml:space="preserve">FY26 capex</t>
  </si>
  <si>
    <t xml:space="preserve">A$328m</t>
  </si>
  <si>
    <t xml:space="preserve">FY26 results; mine development A$146m plus infrastructure and sustaining A$182m</t>
  </si>
  <si>
    <t xml:space="preserve">FY26 closing cash</t>
  </si>
  <si>
    <t xml:space="preserve">A$2,290m</t>
  </si>
  <si>
    <t xml:space="preserve">FY26 results; total liquidity A$2,790m</t>
  </si>
  <si>
    <t xml:space="preserve">Borrowings</t>
  </si>
  <si>
    <t xml:space="preserve">US$600m senior unsecured notes</t>
  </si>
  <si>
    <t xml:space="preserve">Inaugural international bond issued April 2026</t>
  </si>
  <si>
    <t xml:space="preserve">FY26 final dividend</t>
  </si>
  <si>
    <t xml:space="preserve">5.0cps fully franked</t>
  </si>
  <si>
    <t xml:space="preserve">FY26 results; ~22% of adjusted free cash flow, policy 20-30%</t>
  </si>
  <si>
    <t xml:space="preserve">FY27 production guidance</t>
  </si>
  <si>
    <t xml:space="preserve">1,030 - 1,100kt</t>
  </si>
  <si>
    <t xml:space="preserve">G</t>
  </si>
  <si>
    <t xml:space="preserve">Given with FY26 results, 24-Aug-2026</t>
  </si>
  <si>
    <t xml:space="preserve">FY27 unit cost guidance</t>
  </si>
  <si>
    <t xml:space="preserve">A$575 - 625/t FOB</t>
  </si>
  <si>
    <t xml:space="preserve">Same; step-up attributed to Ngungaju mix</t>
  </si>
  <si>
    <t xml:space="preserve">FY27 capex guidance</t>
  </si>
  <si>
    <t xml:space="preserve">A$620 - 685m</t>
  </si>
  <si>
    <t xml:space="preserve">Same; includes A$175m approved P2000 pre-FID</t>
  </si>
  <si>
    <t xml:space="preserve">FY27 Colina spend</t>
  </si>
  <si>
    <t xml:space="preserve">A$45 - 55m</t>
  </si>
  <si>
    <t xml:space="preserve">Same</t>
  </si>
  <si>
    <t xml:space="preserve">Mineral Resource</t>
  </si>
  <si>
    <t xml:space="preserve">446Mt @ 1.28% Li2O, 5.7Mt contained</t>
  </si>
  <si>
    <t xml:space="preserve">Resource update, June 2025; +23% contained Li2O</t>
  </si>
  <si>
    <t xml:space="preserve">Ore Reserve</t>
  </si>
  <si>
    <t xml:space="preserve">214Mt @ 1.19% Li2O</t>
  </si>
  <si>
    <t xml:space="preserve">Ore Reserve statement, August 2023 - predates the 2025 resource upgrade</t>
  </si>
  <si>
    <t xml:space="preserve">P2000 economics</t>
  </si>
  <si>
    <t xml:space="preserve">A$2.6bn incremental NPV, 55% IRR, ~A$1.2bn capex</t>
  </si>
  <si>
    <t xml:space="preserve">P2000 Pre-Feasibility Study, June 2024</t>
  </si>
  <si>
    <t xml:space="preserve">P2000 timing</t>
  </si>
  <si>
    <t xml:space="preserve">DFS Dec-qtr 2026; first ore mid-2029 if sanctioned</t>
  </si>
  <si>
    <t xml:space="preserve">Company guidance</t>
  </si>
  <si>
    <t xml:space="preserve">Ngungaju</t>
  </si>
  <si>
    <t xml:space="preserve">~200ktpa; idled Dec-2024; restarted Jul-2026</t>
  </si>
  <si>
    <t xml:space="preserve">Company announcements</t>
  </si>
  <si>
    <t xml:space="preserve">P680 ore sorting</t>
  </si>
  <si>
    <t xml:space="preserve">World's largest lithium ore sorter, &gt;1,000t/hr, A$103m</t>
  </si>
  <si>
    <t xml:space="preserve">Commissioned Aug-2024; TOMRA sensor-based sorter; part-funded by NAIF</t>
  </si>
  <si>
    <t xml:space="preserve">Mid-stream plant</t>
  </si>
  <si>
    <t xml:space="preserve">100% owned, Calix electric calcination, &gt;80% calcination emissions cut</t>
  </si>
  <si>
    <t xml:space="preserve">Opened 5-Jun-2026; first production guided Sep-qtr 2026; ARENA-backed</t>
  </si>
  <si>
    <t xml:space="preserve">POSCO JV</t>
  </si>
  <si>
    <t xml:space="preserve">PLS 18%, option to 30%; 43ktpa lithium hydroxide</t>
  </si>
  <si>
    <t xml:space="preserve">POSCO Pilbara Lithium Solution, Gwangyang, South Korea</t>
  </si>
  <si>
    <t xml:space="preserve">Colina</t>
  </si>
  <si>
    <t xml:space="preserve">77.7Mt @ 1.24% Li2O; DFS Dec-qtr 2027</t>
  </si>
  <si>
    <t xml:space="preserve">Acquired with Latin Resources, effective Jan-2025</t>
  </si>
  <si>
    <t xml:space="preserve">Net zero target</t>
  </si>
  <si>
    <t xml:space="preserve">Decade commencing 2040</t>
  </si>
  <si>
    <t xml:space="preserve">Company climate disclosure - a decade window, not a single year</t>
  </si>
  <si>
    <t xml:space="preserve">Power emissions intensity target</t>
  </si>
  <si>
    <t xml:space="preserve">~48% lower by 2027; up to 80% by 2030 if wind available</t>
  </si>
  <si>
    <t xml:space="preserve">Company power strategy</t>
  </si>
  <si>
    <t xml:space="preserve">FY25 emissions</t>
  </si>
  <si>
    <t xml:space="preserve">7.1% reduction in absolute Scope 1 and 2</t>
  </si>
  <si>
    <t xml:space="preserve">FY25 full-year results commentary</t>
  </si>
  <si>
    <t xml:space="preserve">Spodumene spot</t>
  </si>
  <si>
    <t xml:space="preserve">US$2,038/t SC6 FOB Australia (12-Aug-26); Platts SpodIX US$2,200/t CIF China</t>
  </si>
  <si>
    <t xml:space="preserve">Benchmark Mineral Intelligence; S&amp;P Global Platts</t>
  </si>
  <si>
    <t xml:space="preserve">Lithium carbonate spot</t>
  </si>
  <si>
    <t xml:space="preserve">US$18,310/t (12-Aug-26); CNY 152,000/t (4-Sep-26)</t>
  </si>
  <si>
    <t xml:space="preserve">Benchmark Mineral Intelligence; Trading Economics</t>
  </si>
  <si>
    <t xml:space="preserve">2026 spodumene forecast</t>
  </si>
  <si>
    <t xml:space="preserve">US$2,236/t average</t>
  </si>
  <si>
    <t xml:space="preserve">Australian Government Resources and Energy Quarterly, June 2026</t>
  </si>
  <si>
    <t xml:space="preserve">Cost curve</t>
  </si>
  <si>
    <t xml:space="preserve">Greenbushes ~US$220/t FOB cash cost; lepidolite &gt;US$1,100/dmt at ~90th percentile</t>
  </si>
  <si>
    <t xml:space="preserve">S&amp;P Global Market Intelligence; CRU Group</t>
  </si>
  <si>
    <t xml:space="preserve">Greenfield incentive price</t>
  </si>
  <si>
    <t xml:space="preserve">Sustainably above US$20,000-25,000/t LCE</t>
  </si>
  <si>
    <t xml:space="preserve">Benchmark Mineral Intelligence</t>
  </si>
  <si>
    <t xml:space="preserve">CATL Jianxiawo</t>
  </si>
  <si>
    <t xml:space="preserve">~150ktpa LCE; suspended Aug-2025, restarted mid-2026, re-suspended Aug-2026</t>
  </si>
  <si>
    <t xml:space="preserve">Benchmark cut its 2026 site estimate from 62.5kt to 32kt LCE</t>
  </si>
  <si>
    <t xml:space="preserve">Zimbabwe export ban</t>
  </si>
  <si>
    <t xml:space="preserve">All raw mineral and concentrate exports banned from 25-Feb-2026</t>
  </si>
  <si>
    <t xml:space="preserve">Government of Zimbabwe</t>
  </si>
  <si>
    <t xml:space="preserve">BESS demand</t>
  </si>
  <si>
    <t xml:space="preserve">Installations +51% in 2025; share of lithium demand ~23% to ~31% in 2026e</t>
  </si>
  <si>
    <t xml:space="preserve">Industry data via Benchmark and Rho Motion</t>
  </si>
  <si>
    <t xml:space="preserve">Short interest</t>
  </si>
  <si>
    <t xml:space="preserve">~20% of shares (Sep-2024, most shorted on ASX) falling to ~6.8% (26-May-2026)</t>
  </si>
  <si>
    <t xml:space="preserve">ASIC short position reports via shortman.com.au</t>
  </si>
  <si>
    <t xml:space="preserve">Consensus target</t>
  </si>
  <si>
    <t xml:space="preserve">~A$4.50 - 5.70 average; full range A$2.50 - 6.83</t>
  </si>
  <si>
    <t xml:space="preserve">Vendor consensus reads, Aug-Sep 2026; consensus rating Buy</t>
  </si>
  <si>
    <t xml:space="preserve">Peer multiples</t>
  </si>
  <si>
    <t xml:space="preserve">RIO 7.84x, S32 8.48x, MIN 7.82x, FMG 5.55x EV/EBITDA</t>
  </si>
  <si>
    <t xml:space="preserve">Data vendors, Aug-2026 - see Trading Comps for the vendor-disagreement caveat</t>
  </si>
  <si>
    <t xml:space="preserve">Rio Tinto / Arcadium</t>
  </si>
  <si>
    <t xml:space="preserve">US$6.7bn, completed 6-Mar-2025</t>
  </si>
  <si>
    <t xml:space="preserve">Huayou / Atlantic Lithium</t>
  </si>
  <si>
    <t xml:space="preserve">US$210m at a 26.6% premium, announced May-2026</t>
  </si>
  <si>
    <t xml:space="preserve">Verification note. Company sites and the ASX announcements platform could not be opened directly from the</t>
  </si>
  <si>
    <t xml:space="preserve">environment used to build this model, so reported figures were corroborated across two or more independent</t>
  </si>
  <si>
    <t xml:space="preserve">secondary reports of the same announcement rather than read off the primary PDF. Headline FY26 figures are</t>
  </si>
  <si>
    <t xml:space="preserve">consistent across sources. Figures tagged E are our own estimates and are identified as such wherever they appear.</t>
  </si>
  <si>
    <t xml:space="preserve">Known unresolved items: total borrowings at 30-Jun-26 (only the US$600m notes issue is confirmed); FY24</t>
  </si>
  <si>
    <t xml:space="preserve">comparatives; the Ore Reserve has not been restated since August 2023; and PLS's Scope 3 emissions are not disclosed.</t>
  </si>
</sst>
</file>

<file path=xl/styles.xml><?xml version="1.0" encoding="utf-8"?>
<styleSheet xmlns="http://schemas.openxmlformats.org/spreadsheetml/2006/main">
  <numFmts count="14">
    <numFmt numFmtId="164" formatCode="General"/>
    <numFmt numFmtId="165" formatCode="General"/>
    <numFmt numFmtId="166" formatCode="\$#,##0.00;&quot;($&quot;#,##0.00\);\-"/>
    <numFmt numFmtId="167" formatCode="#,##0;\(#,##0\);\-"/>
    <numFmt numFmtId="168" formatCode="\$#,##0;&quot;($&quot;#,##0\);\-"/>
    <numFmt numFmtId="169" formatCode="0.0%;\(0.0%\);\-"/>
    <numFmt numFmtId="170" formatCode="0.00%;\(0.00%\);\-"/>
    <numFmt numFmtId="171" formatCode="0.00"/>
    <numFmt numFmtId="172" formatCode="#,##0.0;\(#,##0.0\);\-"/>
    <numFmt numFmtId="173" formatCode="0.0"/>
    <numFmt numFmtId="174" formatCode="0.000"/>
    <numFmt numFmtId="175" formatCode="#,##0.00;\(#,##0.00\);\-"/>
    <numFmt numFmtId="176" formatCode="0.00\x"/>
    <numFmt numFmtId="177" formatCode="0.0\x;\(0.0&quot;x)&quot;;\-"/>
  </numFmts>
  <fonts count="4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6"/>
      <color rgb="FF0B2545"/>
      <name val="Arial"/>
      <family val="0"/>
      <charset val="1"/>
    </font>
    <font>
      <sz val="11"/>
      <color rgb="FF0E7C7B"/>
      <name val="Arial"/>
      <family val="0"/>
      <charset val="1"/>
    </font>
    <font>
      <b val="true"/>
      <sz val="15"/>
      <color rgb="FF0E7C7B"/>
      <name val="Arial"/>
      <family val="0"/>
      <charset val="1"/>
    </font>
    <font>
      <i val="true"/>
      <sz val="10"/>
      <color rgb="FF5A6472"/>
      <name val="Arial"/>
      <family val="0"/>
      <charset val="1"/>
    </font>
    <font>
      <b val="true"/>
      <sz val="9"/>
      <color rgb="FF000000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11"/>
      <color rgb="FF0B2545"/>
      <name val="Arial"/>
      <family val="0"/>
      <charset val="1"/>
    </font>
    <font>
      <sz val="9"/>
      <color rgb="FF5A6472"/>
      <name val="Arial"/>
      <family val="0"/>
      <charset val="1"/>
    </font>
    <font>
      <b val="true"/>
      <sz val="9"/>
      <color rgb="FF0E7C7B"/>
      <name val="Arial"/>
      <family val="0"/>
      <charset val="1"/>
    </font>
    <font>
      <b val="true"/>
      <sz val="10"/>
      <color rgb="FFB3261E"/>
      <name val="Arial"/>
      <family val="0"/>
      <charset val="1"/>
    </font>
    <font>
      <i val="true"/>
      <sz val="8"/>
      <color rgb="FF5A6472"/>
      <name val="Arial"/>
      <family val="0"/>
      <charset val="1"/>
    </font>
    <font>
      <b val="true"/>
      <sz val="16"/>
      <color rgb="FF0B2545"/>
      <name val="Arial"/>
      <family val="0"/>
      <charset val="1"/>
    </font>
    <font>
      <i val="true"/>
      <sz val="9"/>
      <color rgb="FF5A6472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1"/>
      <color rgb="FF0000FF"/>
      <name val="Arial"/>
      <family val="0"/>
      <charset val="1"/>
    </font>
    <font>
      <b val="true"/>
      <sz val="10"/>
      <color rgb="FF0B2545"/>
      <name val="Arial"/>
      <family val="0"/>
      <charset val="1"/>
    </font>
    <font>
      <sz val="9"/>
      <color rgb="FF0000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9"/>
      <color rgb="FF0000FF"/>
      <name val="Arial"/>
      <family val="0"/>
      <charset val="1"/>
    </font>
    <font>
      <i val="true"/>
      <sz val="9"/>
      <color rgb="FF000000"/>
      <name val="Arial"/>
      <family val="0"/>
      <charset val="1"/>
    </font>
    <font>
      <sz val="9"/>
      <color rgb="FF008000"/>
      <name val="Arial"/>
      <family val="0"/>
      <charset val="1"/>
    </font>
    <font>
      <b val="true"/>
      <sz val="9"/>
      <color rgb="FF008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8"/>
      <color rgb="FF5A6472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b val="true"/>
      <sz val="12"/>
      <color rgb="FF000000"/>
      <name val="Arial"/>
      <family val="0"/>
      <charset val="1"/>
    </font>
    <font>
      <b val="true"/>
      <sz val="9"/>
      <color rgb="FF0B2545"/>
      <name val="Arial"/>
      <family val="0"/>
      <charset val="1"/>
    </font>
    <font>
      <b val="true"/>
      <sz val="12"/>
      <color rgb="FF0B2545"/>
      <name val="Arial"/>
      <family val="0"/>
      <charset val="1"/>
    </font>
    <font>
      <b val="true"/>
      <sz val="14"/>
      <color rgb="FF000000"/>
      <name val="Arial"/>
      <family val="0"/>
      <charset val="1"/>
    </font>
    <font>
      <b val="true"/>
      <sz val="13"/>
      <color rgb="FF000000"/>
      <name val="Arial"/>
      <family val="0"/>
      <charset val="1"/>
    </font>
    <font>
      <sz val="9"/>
      <color rgb="FF0E7C7B"/>
      <name val="Arial"/>
      <family val="0"/>
      <charset val="1"/>
    </font>
    <font>
      <sz val="9"/>
      <color rgb="FFC77D02"/>
      <name val="Arial"/>
      <family val="0"/>
      <charset val="1"/>
    </font>
    <font>
      <sz val="9"/>
      <color rgb="FFB3261E"/>
      <name val="Arial"/>
      <family val="0"/>
      <charset val="1"/>
    </font>
    <font>
      <b val="true"/>
      <sz val="11"/>
      <color rgb="FFB3261E"/>
      <name val="Arial"/>
      <family val="0"/>
      <charset val="1"/>
    </font>
    <font>
      <b val="true"/>
      <sz val="9"/>
      <color rgb="FF5A6472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0B2545"/>
        <bgColor rgb="FF333333"/>
      </patternFill>
    </fill>
    <fill>
      <patternFill patternType="solid">
        <fgColor rgb="FFFFFF00"/>
        <bgColor rgb="FFFFFF00"/>
      </patternFill>
    </fill>
    <fill>
      <patternFill patternType="solid">
        <fgColor rgb="FFEEF1F4"/>
        <bgColor rgb="FFFFFFFF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0B2545"/>
      </left>
      <right style="thin">
        <color rgb="FF0B2545"/>
      </right>
      <top style="thin">
        <color rgb="FF0B2545"/>
      </top>
      <bottom style="thin">
        <color rgb="FF0B2545"/>
      </bottom>
      <diagonal/>
    </border>
    <border diagonalUp="false" diagonalDown="false">
      <left style="thin">
        <color rgb="FFB8C0CC"/>
      </left>
      <right style="thin">
        <color rgb="FFB8C0CC"/>
      </right>
      <top style="thin">
        <color rgb="FFB8C0CC"/>
      </top>
      <bottom style="thin">
        <color rgb="FFB8C0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9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21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21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2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22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2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2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2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2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2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2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2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7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23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8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2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22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3" fontId="22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22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22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8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2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3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33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34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2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2" fillId="2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3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3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3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1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2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3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2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1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3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E7C7B"/>
      <rgbColor rgb="FFB8C0CC"/>
      <rgbColor rgb="FF808080"/>
      <rgbColor rgb="FF9999FF"/>
      <rgbColor rgb="FF993366"/>
      <rgbColor rgb="FFEEF1F4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8FBF3F"/>
      <rgbColor rgb="FFFFCC00"/>
      <rgbColor rgb="FFFF9900"/>
      <rgbColor rgb="FFC77D02"/>
      <rgbColor rgb="FF5A6472"/>
      <rgbColor rgb="FF969696"/>
      <rgbColor rgb="FF0B2545"/>
      <rgbColor rgb="FF339966"/>
      <rgbColor rgb="FF003300"/>
      <rgbColor rgb="FF333300"/>
      <rgbColor rgb="FFB3261E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B2545"/>
    <pageSetUpPr fitToPage="false"/>
  </sheetPr>
  <dimension ref="B2:C4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0"/>
    <col collapsed="false" customWidth="true" hidden="false" outlineLevel="0" max="3" min="3" style="0" width="58"/>
    <col collapsed="false" customWidth="true" hidden="false" outlineLevel="0" max="15" min="4" style="0" width="11.5"/>
  </cols>
  <sheetData>
    <row r="2" customFormat="false" ht="31.5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5" customFormat="false" ht="18.55" hidden="false" customHeight="false" outlineLevel="0" collapsed="false">
      <c r="B5" s="3" t="s">
        <v>2</v>
      </c>
    </row>
    <row r="6" customFormat="false" ht="15" hidden="false" customHeight="false" outlineLevel="0" collapsed="false">
      <c r="B6" s="4" t="s">
        <v>3</v>
      </c>
    </row>
    <row r="8" customFormat="false" ht="15" hidden="false" customHeight="false" outlineLevel="0" collapsed="false">
      <c r="B8" s="5" t="s">
        <v>4</v>
      </c>
      <c r="C8" s="5" t="s">
        <v>5</v>
      </c>
    </row>
    <row r="9" customFormat="false" ht="15" hidden="false" customHeight="false" outlineLevel="0" collapsed="false">
      <c r="B9" s="6" t="s">
        <v>6</v>
      </c>
      <c r="C9" s="6" t="s">
        <v>7</v>
      </c>
    </row>
    <row r="10" customFormat="false" ht="15" hidden="false" customHeight="false" outlineLevel="0" collapsed="false">
      <c r="B10" s="6" t="s">
        <v>8</v>
      </c>
      <c r="C10" s="6" t="s">
        <v>9</v>
      </c>
    </row>
    <row r="11" customFormat="false" ht="15" hidden="false" customHeight="false" outlineLevel="0" collapsed="false">
      <c r="B11" s="6" t="s">
        <v>10</v>
      </c>
      <c r="C11" s="6" t="s">
        <v>11</v>
      </c>
    </row>
    <row r="12" customFormat="false" ht="15" hidden="false" customHeight="false" outlineLevel="0" collapsed="false">
      <c r="B12" s="6" t="s">
        <v>12</v>
      </c>
      <c r="C12" s="6" t="s">
        <v>13</v>
      </c>
    </row>
    <row r="14" customFormat="false" ht="15" hidden="false" customHeight="false" outlineLevel="0" collapsed="false">
      <c r="B14" s="7" t="s">
        <v>14</v>
      </c>
    </row>
    <row r="15" customFormat="false" ht="15" hidden="false" customHeight="false" outlineLevel="0" collapsed="false">
      <c r="B15" s="8" t="s">
        <v>15</v>
      </c>
    </row>
    <row r="16" customFormat="false" ht="15" hidden="false" customHeight="false" outlineLevel="0" collapsed="false">
      <c r="B16" s="8" t="s">
        <v>16</v>
      </c>
    </row>
    <row r="17" customFormat="false" ht="15" hidden="false" customHeight="false" outlineLevel="0" collapsed="false">
      <c r="B17" s="8" t="s">
        <v>17</v>
      </c>
    </row>
    <row r="18" customFormat="false" ht="15" hidden="false" customHeight="false" outlineLevel="0" collapsed="false">
      <c r="B18" s="8" t="s">
        <v>18</v>
      </c>
    </row>
    <row r="19" customFormat="false" ht="15" hidden="false" customHeight="false" outlineLevel="0" collapsed="false">
      <c r="B19" s="8" t="s">
        <v>19</v>
      </c>
    </row>
    <row r="20" customFormat="false" ht="15" hidden="false" customHeight="false" outlineLevel="0" collapsed="false">
      <c r="B20" s="8" t="s">
        <v>20</v>
      </c>
    </row>
    <row r="21" customFormat="false" ht="15" hidden="false" customHeight="false" outlineLevel="0" collapsed="false">
      <c r="B21" s="8" t="s">
        <v>21</v>
      </c>
    </row>
    <row r="23" customFormat="false" ht="15" hidden="false" customHeight="false" outlineLevel="0" collapsed="false">
      <c r="B23" s="7" t="s">
        <v>22</v>
      </c>
    </row>
    <row r="24" customFormat="false" ht="15" hidden="false" customHeight="false" outlineLevel="0" collapsed="false">
      <c r="B24" s="9" t="s">
        <v>23</v>
      </c>
      <c r="C24" s="8" t="s">
        <v>24</v>
      </c>
    </row>
    <row r="25" customFormat="false" ht="15" hidden="false" customHeight="false" outlineLevel="0" collapsed="false">
      <c r="B25" s="9" t="s">
        <v>25</v>
      </c>
      <c r="C25" s="8" t="s">
        <v>26</v>
      </c>
    </row>
    <row r="26" customFormat="false" ht="15" hidden="false" customHeight="false" outlineLevel="0" collapsed="false">
      <c r="B26" s="9" t="s">
        <v>27</v>
      </c>
      <c r="C26" s="8" t="s">
        <v>28</v>
      </c>
    </row>
    <row r="27" customFormat="false" ht="15" hidden="false" customHeight="false" outlineLevel="0" collapsed="false">
      <c r="B27" s="9" t="s">
        <v>29</v>
      </c>
      <c r="C27" s="8" t="s">
        <v>30</v>
      </c>
    </row>
    <row r="28" customFormat="false" ht="15" hidden="false" customHeight="false" outlineLevel="0" collapsed="false">
      <c r="B28" s="9" t="s">
        <v>31</v>
      </c>
      <c r="C28" s="8" t="s">
        <v>32</v>
      </c>
    </row>
    <row r="29" customFormat="false" ht="15" hidden="false" customHeight="false" outlineLevel="0" collapsed="false">
      <c r="B29" s="9" t="s">
        <v>33</v>
      </c>
      <c r="C29" s="8" t="s">
        <v>34</v>
      </c>
    </row>
    <row r="30" customFormat="false" ht="15" hidden="false" customHeight="false" outlineLevel="0" collapsed="false">
      <c r="B30" s="9" t="s">
        <v>35</v>
      </c>
      <c r="C30" s="8" t="s">
        <v>36</v>
      </c>
    </row>
    <row r="31" customFormat="false" ht="15" hidden="false" customHeight="false" outlineLevel="0" collapsed="false">
      <c r="B31" s="9" t="s">
        <v>37</v>
      </c>
      <c r="C31" s="8" t="s">
        <v>38</v>
      </c>
    </row>
    <row r="32" customFormat="false" ht="15" hidden="false" customHeight="false" outlineLevel="0" collapsed="false">
      <c r="B32" s="9" t="s">
        <v>39</v>
      </c>
      <c r="C32" s="8" t="s">
        <v>40</v>
      </c>
    </row>
    <row r="33" customFormat="false" ht="15" hidden="false" customHeight="false" outlineLevel="0" collapsed="false">
      <c r="B33" s="9" t="s">
        <v>41</v>
      </c>
      <c r="C33" s="8" t="s">
        <v>42</v>
      </c>
    </row>
    <row r="34" customFormat="false" ht="15" hidden="false" customHeight="false" outlineLevel="0" collapsed="false">
      <c r="B34" s="9" t="s">
        <v>43</v>
      </c>
      <c r="C34" s="8" t="s">
        <v>44</v>
      </c>
    </row>
    <row r="35" customFormat="false" ht="15" hidden="false" customHeight="false" outlineLevel="0" collapsed="false">
      <c r="B35" s="9" t="s">
        <v>45</v>
      </c>
      <c r="C35" s="8" t="s">
        <v>46</v>
      </c>
    </row>
    <row r="36" customFormat="false" ht="15" hidden="false" customHeight="false" outlineLevel="0" collapsed="false">
      <c r="B36" s="9" t="s">
        <v>47</v>
      </c>
      <c r="C36" s="8" t="s">
        <v>48</v>
      </c>
    </row>
    <row r="37" customFormat="false" ht="15" hidden="false" customHeight="false" outlineLevel="0" collapsed="false">
      <c r="B37" s="9" t="s">
        <v>49</v>
      </c>
      <c r="C37" s="8" t="s">
        <v>50</v>
      </c>
    </row>
    <row r="38" customFormat="false" ht="15" hidden="false" customHeight="false" outlineLevel="0" collapsed="false">
      <c r="B38" s="9" t="s">
        <v>51</v>
      </c>
      <c r="C38" s="8" t="s">
        <v>52</v>
      </c>
    </row>
    <row r="39" customFormat="false" ht="15" hidden="false" customHeight="false" outlineLevel="0" collapsed="false">
      <c r="B39" s="9" t="s">
        <v>53</v>
      </c>
      <c r="C39" s="8" t="s">
        <v>54</v>
      </c>
    </row>
    <row r="40" customFormat="false" ht="15" hidden="false" customHeight="false" outlineLevel="0" collapsed="false">
      <c r="B40" s="9" t="s">
        <v>55</v>
      </c>
      <c r="C40" s="8" t="s">
        <v>56</v>
      </c>
    </row>
    <row r="42" customFormat="false" ht="15" hidden="false" customHeight="false" outlineLevel="0" collapsed="false">
      <c r="B42" s="10" t="s">
        <v>57</v>
      </c>
    </row>
    <row r="43" customFormat="false" ht="15" hidden="false" customHeight="false" outlineLevel="0" collapsed="false">
      <c r="B43" s="11" t="s">
        <v>58</v>
      </c>
    </row>
    <row r="44" customFormat="false" ht="15" hidden="false" customHeight="false" outlineLevel="0" collapsed="false">
      <c r="B44" s="11" t="s">
        <v>59</v>
      </c>
    </row>
    <row r="45" customFormat="false" ht="15" hidden="false" customHeight="false" outlineLevel="0" collapsed="false">
      <c r="B45" s="11" t="s">
        <v>60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E7C7B"/>
    <pageSetUpPr fitToPage="false"/>
  </sheetPr>
  <dimension ref="B2:S6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4"/>
    <col collapsed="false" customWidth="true" hidden="false" outlineLevel="0" max="3" min="3" style="0" width="16"/>
    <col collapsed="false" customWidth="true" hidden="false" outlineLevel="0" max="5" min="4" style="0" width="14"/>
    <col collapsed="false" customWidth="true" hidden="false" outlineLevel="0" max="6" min="6" style="0" width="52"/>
    <col collapsed="false" customWidth="true" hidden="false" outlineLevel="0" max="15" min="7" style="0" width="11.5"/>
  </cols>
  <sheetData>
    <row r="2" customFormat="false" ht="19.7" hidden="false" customHeight="false" outlineLevel="0" collapsed="false">
      <c r="B2" s="12" t="s">
        <v>61</v>
      </c>
    </row>
    <row r="3" customFormat="false" ht="15" hidden="false" customHeight="false" outlineLevel="0" collapsed="false">
      <c r="B3" s="13" t="s">
        <v>62</v>
      </c>
      <c r="S3" s="8" t="s">
        <v>63</v>
      </c>
    </row>
    <row r="4" customFormat="false" ht="15" hidden="false" customHeight="false" outlineLevel="0" collapsed="false">
      <c r="B4" s="11" t="s">
        <v>64</v>
      </c>
      <c r="S4" s="8" t="s">
        <v>65</v>
      </c>
    </row>
    <row r="5" customFormat="false" ht="15" hidden="false" customHeight="false" outlineLevel="0" collapsed="false">
      <c r="S5" s="8" t="s">
        <v>66</v>
      </c>
    </row>
    <row r="6" customFormat="false" ht="15" hidden="false" customHeight="false" outlineLevel="0" collapsed="false">
      <c r="B6" s="14" t="s">
        <v>67</v>
      </c>
      <c r="C6" s="15"/>
      <c r="D6" s="15"/>
      <c r="E6" s="15"/>
      <c r="F6" s="15"/>
    </row>
    <row r="7" customFormat="false" ht="15" hidden="false" customHeight="false" outlineLevel="0" collapsed="false">
      <c r="B7" s="16" t="s">
        <v>68</v>
      </c>
      <c r="C7" s="17" t="s">
        <v>65</v>
      </c>
      <c r="F7" s="13" t="s">
        <v>69</v>
      </c>
    </row>
    <row r="8" customFormat="false" ht="15" hidden="false" customHeight="false" outlineLevel="0" collapsed="false">
      <c r="B8" s="6" t="s">
        <v>70</v>
      </c>
      <c r="C8" s="18" t="n">
        <f aca="false">MATCH($C$7,$S$3:$S$5,0)</f>
        <v>2</v>
      </c>
      <c r="F8" s="13" t="s">
        <v>71</v>
      </c>
    </row>
    <row r="10" customFormat="false" ht="15" hidden="false" customHeight="false" outlineLevel="0" collapsed="false">
      <c r="B10" s="19" t="s">
        <v>72</v>
      </c>
      <c r="C10" s="20"/>
      <c r="D10" s="20"/>
      <c r="E10" s="20"/>
      <c r="F10" s="20"/>
    </row>
    <row r="11" customFormat="false" ht="15" hidden="false" customHeight="false" outlineLevel="0" collapsed="false">
      <c r="B11" s="6" t="s">
        <v>73</v>
      </c>
      <c r="C11" s="21" t="n">
        <v>5.48</v>
      </c>
      <c r="D11" s="11" t="s">
        <v>74</v>
      </c>
    </row>
    <row r="12" customFormat="false" ht="15" hidden="false" customHeight="false" outlineLevel="0" collapsed="false">
      <c r="B12" s="6" t="s">
        <v>75</v>
      </c>
      <c r="C12" s="22" t="n">
        <v>3220</v>
      </c>
      <c r="D12" s="11" t="s">
        <v>76</v>
      </c>
    </row>
    <row r="13" customFormat="false" ht="15" hidden="false" customHeight="false" outlineLevel="0" collapsed="false">
      <c r="B13" s="5" t="s">
        <v>77</v>
      </c>
      <c r="C13" s="23" t="n">
        <f aca="false">C11*C12</f>
        <v>17645.6</v>
      </c>
    </row>
    <row r="14" customFormat="false" ht="15" hidden="false" customHeight="false" outlineLevel="0" collapsed="false">
      <c r="B14" s="6" t="s">
        <v>78</v>
      </c>
      <c r="C14" s="21" t="n">
        <v>6.81</v>
      </c>
    </row>
    <row r="15" customFormat="false" ht="15" hidden="false" customHeight="false" outlineLevel="0" collapsed="false">
      <c r="B15" s="6" t="s">
        <v>79</v>
      </c>
      <c r="C15" s="21" t="n">
        <v>1.91</v>
      </c>
    </row>
    <row r="16" customFormat="false" ht="15" hidden="false" customHeight="false" outlineLevel="0" collapsed="false">
      <c r="B16" s="6" t="s">
        <v>80</v>
      </c>
      <c r="C16" s="24" t="n">
        <f aca="false">C11/C15-1</f>
        <v>1.86910994764398</v>
      </c>
      <c r="D16" s="11" t="s">
        <v>81</v>
      </c>
    </row>
    <row r="18" customFormat="false" ht="15" hidden="false" customHeight="false" outlineLevel="0" collapsed="false">
      <c r="B18" s="19" t="s">
        <v>82</v>
      </c>
      <c r="C18" s="20"/>
      <c r="D18" s="20"/>
      <c r="E18" s="20"/>
      <c r="F18" s="20"/>
    </row>
    <row r="19" customFormat="false" ht="15" hidden="false" customHeight="false" outlineLevel="0" collapsed="false">
      <c r="B19" s="6" t="s">
        <v>83</v>
      </c>
      <c r="C19" s="25" t="n">
        <v>2290</v>
      </c>
      <c r="D19" s="11" t="s">
        <v>84</v>
      </c>
    </row>
    <row r="20" customFormat="false" ht="15" hidden="false" customHeight="false" outlineLevel="0" collapsed="false">
      <c r="B20" s="6" t="s">
        <v>85</v>
      </c>
      <c r="C20" s="25" t="n">
        <v>828</v>
      </c>
      <c r="D20" s="11" t="s">
        <v>86</v>
      </c>
    </row>
    <row r="21" customFormat="false" ht="15" hidden="false" customHeight="false" outlineLevel="0" collapsed="false">
      <c r="B21" s="5" t="s">
        <v>87</v>
      </c>
      <c r="C21" s="23" t="n">
        <f aca="false">C19-C20</f>
        <v>1462</v>
      </c>
    </row>
    <row r="22" customFormat="false" ht="15" hidden="false" customHeight="false" outlineLevel="0" collapsed="false">
      <c r="B22" s="5" t="s">
        <v>88</v>
      </c>
      <c r="C22" s="23" t="n">
        <f aca="false">C13-C21</f>
        <v>16183.6</v>
      </c>
    </row>
    <row r="23" customFormat="false" ht="15" hidden="false" customHeight="false" outlineLevel="0" collapsed="false">
      <c r="B23" s="6" t="s">
        <v>89</v>
      </c>
      <c r="C23" s="26" t="n">
        <v>0.1</v>
      </c>
      <c r="D23" s="11" t="s">
        <v>90</v>
      </c>
    </row>
    <row r="25" customFormat="false" ht="15" hidden="false" customHeight="false" outlineLevel="0" collapsed="false">
      <c r="B25" s="19" t="s">
        <v>91</v>
      </c>
      <c r="C25" s="20"/>
      <c r="D25" s="20"/>
      <c r="E25" s="20"/>
      <c r="F25" s="20"/>
    </row>
    <row r="26" customFormat="false" ht="15" hidden="false" customHeight="false" outlineLevel="0" collapsed="false">
      <c r="B26" s="6" t="s">
        <v>92</v>
      </c>
      <c r="C26" s="27" t="n">
        <v>0.05</v>
      </c>
      <c r="D26" s="11" t="s">
        <v>93</v>
      </c>
    </row>
    <row r="27" customFormat="false" ht="15" hidden="false" customHeight="false" outlineLevel="0" collapsed="false">
      <c r="B27" s="6" t="s">
        <v>94</v>
      </c>
      <c r="C27" s="27" t="n">
        <v>0.06</v>
      </c>
      <c r="D27" s="11" t="s">
        <v>93</v>
      </c>
    </row>
    <row r="28" customFormat="false" ht="15" hidden="false" customHeight="false" outlineLevel="0" collapsed="false">
      <c r="B28" s="6" t="s">
        <v>95</v>
      </c>
      <c r="C28" s="28" t="n">
        <v>0.73</v>
      </c>
      <c r="D28" s="11" t="s">
        <v>96</v>
      </c>
    </row>
    <row r="29" customFormat="false" ht="15" hidden="false" customHeight="false" outlineLevel="0" collapsed="false">
      <c r="B29" s="5" t="s">
        <v>97</v>
      </c>
      <c r="C29" s="29" t="n">
        <f aca="false">C26+C28*C27</f>
        <v>0.0938</v>
      </c>
    </row>
    <row r="30" customFormat="false" ht="15" hidden="false" customHeight="false" outlineLevel="0" collapsed="false">
      <c r="B30" s="6" t="s">
        <v>98</v>
      </c>
      <c r="C30" s="27" t="n">
        <v>0.0625</v>
      </c>
      <c r="D30" s="11" t="s">
        <v>99</v>
      </c>
    </row>
    <row r="31" customFormat="false" ht="15" hidden="false" customHeight="false" outlineLevel="0" collapsed="false">
      <c r="B31" s="6" t="s">
        <v>100</v>
      </c>
      <c r="C31" s="27" t="n">
        <v>0.3</v>
      </c>
      <c r="D31" s="11" t="s">
        <v>101</v>
      </c>
    </row>
    <row r="32" customFormat="false" ht="15" hidden="false" customHeight="false" outlineLevel="0" collapsed="false">
      <c r="B32" s="6" t="s">
        <v>102</v>
      </c>
      <c r="C32" s="30" t="n">
        <f aca="false">C30*(1-C31)</f>
        <v>0.04375</v>
      </c>
    </row>
    <row r="33" customFormat="false" ht="15" hidden="false" customHeight="false" outlineLevel="0" collapsed="false">
      <c r="B33" s="5" t="s">
        <v>103</v>
      </c>
      <c r="C33" s="31" t="n">
        <f aca="false">(1-C23)*C29+C23*C32</f>
        <v>0.088795</v>
      </c>
    </row>
    <row r="35" customFormat="false" ht="15" hidden="false" customHeight="false" outlineLevel="0" collapsed="false">
      <c r="B35" s="19" t="s">
        <v>104</v>
      </c>
      <c r="C35" s="20"/>
      <c r="D35" s="20"/>
      <c r="E35" s="20"/>
      <c r="F35" s="20"/>
    </row>
    <row r="36" customFormat="false" ht="15" hidden="false" customHeight="false" outlineLevel="0" collapsed="false">
      <c r="B36" s="5" t="s">
        <v>105</v>
      </c>
      <c r="C36" s="29" t="n">
        <f aca="false">CHOOSE($C$8,0.015,0.025,0.03)</f>
        <v>0.025</v>
      </c>
      <c r="D36" s="11" t="s">
        <v>106</v>
      </c>
    </row>
    <row r="37" customFormat="false" ht="15" hidden="false" customHeight="false" outlineLevel="0" collapsed="false">
      <c r="B37" s="6" t="s">
        <v>107</v>
      </c>
      <c r="C37" s="6" t="s">
        <v>108</v>
      </c>
    </row>
    <row r="39" customFormat="false" ht="15" hidden="false" customHeight="false" outlineLevel="0" collapsed="false">
      <c r="B39" s="19" t="s">
        <v>109</v>
      </c>
      <c r="C39" s="20"/>
      <c r="D39" s="20"/>
      <c r="E39" s="20"/>
      <c r="F39" s="20"/>
    </row>
    <row r="40" customFormat="false" ht="15" hidden="false" customHeight="false" outlineLevel="0" collapsed="false">
      <c r="B40" s="6" t="s">
        <v>110</v>
      </c>
      <c r="C40" s="25" t="n">
        <v>95</v>
      </c>
      <c r="D40" s="11" t="s">
        <v>111</v>
      </c>
    </row>
    <row r="41" customFormat="false" ht="15" hidden="false" customHeight="false" outlineLevel="0" collapsed="false">
      <c r="B41" s="6" t="s">
        <v>112</v>
      </c>
      <c r="C41" s="26" t="n">
        <v>0.025</v>
      </c>
      <c r="D41" s="11" t="s">
        <v>111</v>
      </c>
    </row>
    <row r="42" customFormat="false" ht="15" hidden="false" customHeight="false" outlineLevel="0" collapsed="false">
      <c r="B42" s="6" t="s">
        <v>113</v>
      </c>
      <c r="C42" s="26" t="n">
        <v>0.05</v>
      </c>
      <c r="D42" s="11" t="s">
        <v>114</v>
      </c>
    </row>
    <row r="43" customFormat="false" ht="15" hidden="false" customHeight="false" outlineLevel="0" collapsed="false">
      <c r="B43" s="6" t="s">
        <v>115</v>
      </c>
      <c r="C43" s="26" t="n">
        <v>0.85</v>
      </c>
      <c r="D43" s="11" t="s">
        <v>111</v>
      </c>
    </row>
    <row r="44" customFormat="false" ht="15" hidden="false" customHeight="false" outlineLevel="0" collapsed="false">
      <c r="B44" s="6" t="s">
        <v>116</v>
      </c>
      <c r="C44" s="26" t="n">
        <v>0.08</v>
      </c>
      <c r="D44" s="11" t="s">
        <v>111</v>
      </c>
    </row>
    <row r="46" customFormat="false" ht="15" hidden="false" customHeight="false" outlineLevel="0" collapsed="false">
      <c r="B46" s="19" t="s">
        <v>117</v>
      </c>
      <c r="C46" s="20"/>
      <c r="D46" s="20"/>
      <c r="E46" s="20"/>
      <c r="F46" s="20"/>
    </row>
    <row r="47" customFormat="false" ht="15" hidden="false" customHeight="false" outlineLevel="0" collapsed="false">
      <c r="B47" s="6" t="s">
        <v>118</v>
      </c>
      <c r="C47" s="32" t="n">
        <v>446</v>
      </c>
      <c r="D47" s="11" t="s">
        <v>119</v>
      </c>
    </row>
    <row r="48" customFormat="false" ht="15" hidden="false" customHeight="false" outlineLevel="0" collapsed="false">
      <c r="B48" s="6" t="s">
        <v>120</v>
      </c>
      <c r="C48" s="32" t="n">
        <v>214.2</v>
      </c>
      <c r="D48" s="11" t="s">
        <v>121</v>
      </c>
    </row>
    <row r="49" customFormat="false" ht="15" hidden="false" customHeight="false" outlineLevel="0" collapsed="false">
      <c r="B49" s="6" t="s">
        <v>122</v>
      </c>
      <c r="C49" s="33" t="n">
        <v>0.75</v>
      </c>
      <c r="D49" s="11" t="s">
        <v>123</v>
      </c>
    </row>
    <row r="50" customFormat="false" ht="15" hidden="false" customHeight="false" outlineLevel="0" collapsed="false">
      <c r="B50" s="5" t="s">
        <v>124</v>
      </c>
      <c r="C50" s="34" t="n">
        <f aca="false">C47*C49</f>
        <v>334.5</v>
      </c>
    </row>
    <row r="51" customFormat="false" ht="15" hidden="false" customHeight="false" outlineLevel="0" collapsed="false">
      <c r="B51" s="6" t="s">
        <v>125</v>
      </c>
      <c r="C51" s="27" t="n">
        <v>0.0119</v>
      </c>
      <c r="D51" s="11" t="s">
        <v>126</v>
      </c>
    </row>
    <row r="52" customFormat="false" ht="15" hidden="false" customHeight="false" outlineLevel="0" collapsed="false">
      <c r="B52" s="6" t="s">
        <v>127</v>
      </c>
      <c r="C52" s="26" t="n">
        <v>0.765</v>
      </c>
      <c r="D52" s="11" t="s">
        <v>128</v>
      </c>
    </row>
    <row r="53" customFormat="false" ht="15" hidden="false" customHeight="false" outlineLevel="0" collapsed="false">
      <c r="B53" s="6" t="s">
        <v>129</v>
      </c>
      <c r="C53" s="27" t="n">
        <v>0.052</v>
      </c>
      <c r="D53" s="11" t="s">
        <v>130</v>
      </c>
    </row>
    <row r="54" customFormat="false" ht="15" hidden="false" customHeight="false" outlineLevel="0" collapsed="false">
      <c r="B54" s="5" t="s">
        <v>131</v>
      </c>
      <c r="C54" s="35" t="n">
        <f aca="false">C51*C52/C53</f>
        <v>0.175067307692308</v>
      </c>
    </row>
    <row r="55" customFormat="false" ht="15" hidden="false" customHeight="false" outlineLevel="0" collapsed="false">
      <c r="B55" s="6" t="s">
        <v>132</v>
      </c>
      <c r="C55" s="36" t="n">
        <v>25</v>
      </c>
      <c r="D55" s="11" t="s">
        <v>133</v>
      </c>
    </row>
    <row r="57" customFormat="false" ht="15" hidden="false" customHeight="false" outlineLevel="0" collapsed="false">
      <c r="B57" s="19" t="s">
        <v>134</v>
      </c>
      <c r="C57" s="20"/>
      <c r="D57" s="20"/>
      <c r="E57" s="20"/>
      <c r="F57" s="20"/>
    </row>
    <row r="58" customFormat="false" ht="15" hidden="false" customHeight="false" outlineLevel="0" collapsed="false">
      <c r="B58" s="6" t="s">
        <v>135</v>
      </c>
      <c r="C58" s="26" t="n">
        <v>0.059</v>
      </c>
      <c r="D58" s="11" t="s">
        <v>136</v>
      </c>
    </row>
    <row r="59" customFormat="false" ht="15" hidden="false" customHeight="false" outlineLevel="0" collapsed="false">
      <c r="B59" s="6" t="s">
        <v>137</v>
      </c>
      <c r="C59" s="26" t="n">
        <v>0.079</v>
      </c>
      <c r="D59" s="11" t="s">
        <v>138</v>
      </c>
    </row>
    <row r="60" customFormat="false" ht="15" hidden="false" customHeight="false" outlineLevel="0" collapsed="false">
      <c r="B60" s="6" t="s">
        <v>139</v>
      </c>
      <c r="C60" s="24" t="n">
        <f aca="false">C59-C58</f>
        <v>0.02</v>
      </c>
    </row>
    <row r="62" customFormat="false" ht="15" hidden="false" customHeight="false" outlineLevel="0" collapsed="false">
      <c r="B62" s="11" t="s">
        <v>140</v>
      </c>
    </row>
  </sheetData>
  <dataValidations count="1">
    <dataValidation allowBlank="false" errorStyle="stop" operator="between" showDropDown="false" showErrorMessage="false" showInputMessage="false" sqref="C7" type="list">
      <formula1>$S$3:$S$5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E7C7B"/>
    <pageSetUpPr fitToPage="false"/>
  </sheetPr>
  <dimension ref="B2:Q6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6"/>
    <col collapsed="false" customWidth="true" hidden="false" outlineLevel="0" max="15" min="3" style="0" width="11.5"/>
  </cols>
  <sheetData>
    <row r="2" customFormat="false" ht="19.7" hidden="false" customHeight="false" outlineLevel="0" collapsed="false">
      <c r="B2" s="12" t="s">
        <v>141</v>
      </c>
    </row>
    <row r="3" customFormat="false" ht="15" hidden="false" customHeight="false" outlineLevel="0" collapsed="false">
      <c r="B3" s="13" t="s">
        <v>142</v>
      </c>
    </row>
    <row r="4" customFormat="false" ht="15" hidden="false" customHeight="false" outlineLevel="0" collapsed="false">
      <c r="B4" s="11" t="s">
        <v>64</v>
      </c>
    </row>
    <row r="6" customFormat="false" ht="18" hidden="false" customHeight="true" outlineLevel="0" collapsed="false">
      <c r="B6" s="37" t="s">
        <v>143</v>
      </c>
      <c r="C6" s="38" t="s">
        <v>144</v>
      </c>
      <c r="D6" s="38" t="s">
        <v>145</v>
      </c>
      <c r="E6" s="38" t="s">
        <v>146</v>
      </c>
      <c r="F6" s="38" t="s">
        <v>147</v>
      </c>
      <c r="G6" s="38" t="s">
        <v>148</v>
      </c>
      <c r="H6" s="38" t="s">
        <v>149</v>
      </c>
      <c r="I6" s="38" t="s">
        <v>150</v>
      </c>
      <c r="J6" s="38" t="s">
        <v>151</v>
      </c>
      <c r="K6" s="38" t="s">
        <v>152</v>
      </c>
      <c r="L6" s="38" t="s">
        <v>153</v>
      </c>
      <c r="M6" s="38" t="s">
        <v>154</v>
      </c>
      <c r="N6" s="38" t="s">
        <v>155</v>
      </c>
      <c r="O6" s="38" t="s">
        <v>156</v>
      </c>
    </row>
    <row r="7" customFormat="false" ht="15" hidden="false" customHeight="false" outlineLevel="0" collapsed="false">
      <c r="B7" s="19" t="s">
        <v>157</v>
      </c>
      <c r="C7" s="20"/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  <c r="O7" s="20"/>
    </row>
    <row r="8" customFormat="false" ht="15" hidden="false" customHeight="false" outlineLevel="0" collapsed="false">
      <c r="B8" s="6" t="s">
        <v>158</v>
      </c>
      <c r="F8" s="22" t="n">
        <v>880</v>
      </c>
      <c r="G8" s="22" t="n">
        <v>880</v>
      </c>
      <c r="H8" s="22" t="n">
        <v>870</v>
      </c>
      <c r="I8" s="22" t="n">
        <v>870</v>
      </c>
      <c r="J8" s="22" t="n">
        <v>860</v>
      </c>
      <c r="K8" s="22" t="n">
        <v>860</v>
      </c>
      <c r="L8" s="22" t="n">
        <v>850</v>
      </c>
      <c r="M8" s="22" t="n">
        <v>850</v>
      </c>
      <c r="N8" s="22" t="n">
        <v>850</v>
      </c>
      <c r="O8" s="22" t="n">
        <v>850</v>
      </c>
    </row>
    <row r="9" customFormat="false" ht="15" hidden="false" customHeight="false" outlineLevel="0" collapsed="false">
      <c r="B9" s="6" t="s">
        <v>159</v>
      </c>
      <c r="F9" s="22" t="n">
        <v>150</v>
      </c>
      <c r="G9" s="22" t="n">
        <v>170</v>
      </c>
      <c r="H9" s="22" t="n">
        <v>160</v>
      </c>
      <c r="I9" s="22" t="n">
        <v>120</v>
      </c>
      <c r="J9" s="22" t="n">
        <v>120</v>
      </c>
      <c r="K9" s="22" t="n">
        <v>140</v>
      </c>
      <c r="L9" s="22" t="n">
        <v>150</v>
      </c>
      <c r="M9" s="22" t="n">
        <v>160</v>
      </c>
      <c r="N9" s="22" t="n">
        <v>170</v>
      </c>
      <c r="O9" s="22" t="n">
        <v>170</v>
      </c>
    </row>
    <row r="10" customFormat="false" ht="15" hidden="false" customHeight="false" outlineLevel="0" collapsed="false">
      <c r="B10" s="6" t="s">
        <v>160</v>
      </c>
      <c r="F10" s="22" t="n">
        <v>0</v>
      </c>
      <c r="G10" s="22" t="n">
        <v>0</v>
      </c>
      <c r="H10" s="22" t="n">
        <v>0</v>
      </c>
      <c r="I10" s="22" t="n">
        <v>0</v>
      </c>
      <c r="J10" s="22" t="n">
        <v>0</v>
      </c>
      <c r="K10" s="22" t="n">
        <v>0</v>
      </c>
      <c r="L10" s="22" t="n">
        <v>0</v>
      </c>
      <c r="M10" s="22" t="n">
        <v>0</v>
      </c>
      <c r="N10" s="22" t="n">
        <v>0</v>
      </c>
      <c r="O10" s="22" t="n">
        <v>0</v>
      </c>
    </row>
    <row r="11" customFormat="false" ht="15" hidden="false" customHeight="false" outlineLevel="0" collapsed="false">
      <c r="B11" s="6" t="s">
        <v>161</v>
      </c>
      <c r="F11" s="22" t="n">
        <v>0</v>
      </c>
      <c r="G11" s="22" t="n">
        <v>0</v>
      </c>
      <c r="H11" s="22" t="n">
        <v>0</v>
      </c>
      <c r="I11" s="22" t="n">
        <v>0</v>
      </c>
      <c r="J11" s="22" t="n">
        <v>0</v>
      </c>
      <c r="K11" s="22" t="n">
        <v>0</v>
      </c>
      <c r="L11" s="22" t="n">
        <v>0</v>
      </c>
      <c r="M11" s="22" t="n">
        <v>0</v>
      </c>
      <c r="N11" s="22" t="n">
        <v>0</v>
      </c>
      <c r="O11" s="22" t="n">
        <v>0</v>
      </c>
    </row>
    <row r="12" customFormat="false" ht="15" hidden="false" customHeight="false" outlineLevel="0" collapsed="false">
      <c r="B12" s="5" t="s">
        <v>162</v>
      </c>
      <c r="F12" s="39" t="n">
        <f aca="false">SUM(F8:F11)</f>
        <v>1030</v>
      </c>
      <c r="G12" s="39" t="n">
        <f aca="false">SUM(G8:G11)</f>
        <v>1050</v>
      </c>
      <c r="H12" s="39" t="n">
        <f aca="false">SUM(H8:H11)</f>
        <v>1030</v>
      </c>
      <c r="I12" s="39" t="n">
        <f aca="false">SUM(I8:I11)</f>
        <v>990</v>
      </c>
      <c r="J12" s="39" t="n">
        <f aca="false">SUM(J8:J11)</f>
        <v>980</v>
      </c>
      <c r="K12" s="39" t="n">
        <f aca="false">SUM(K8:K11)</f>
        <v>1000</v>
      </c>
      <c r="L12" s="39" t="n">
        <f aca="false">SUM(L8:L11)</f>
        <v>1000</v>
      </c>
      <c r="M12" s="39" t="n">
        <f aca="false">SUM(M8:M11)</f>
        <v>1010</v>
      </c>
      <c r="N12" s="39" t="n">
        <f aca="false">SUM(N8:N11)</f>
        <v>1020</v>
      </c>
      <c r="O12" s="39" t="n">
        <f aca="false">SUM(O8:O11)</f>
        <v>1020</v>
      </c>
    </row>
    <row r="14" customFormat="false" ht="15" hidden="false" customHeight="false" outlineLevel="0" collapsed="false">
      <c r="B14" s="19" t="s">
        <v>163</v>
      </c>
      <c r="C14" s="20"/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</row>
    <row r="15" customFormat="false" ht="15" hidden="false" customHeight="false" outlineLevel="0" collapsed="false">
      <c r="B15" s="6" t="s">
        <v>158</v>
      </c>
      <c r="F15" s="22" t="n">
        <v>900</v>
      </c>
      <c r="G15" s="22" t="n">
        <v>920</v>
      </c>
      <c r="H15" s="22" t="n">
        <v>920</v>
      </c>
      <c r="I15" s="22" t="n">
        <v>920</v>
      </c>
      <c r="J15" s="22" t="n">
        <v>920</v>
      </c>
      <c r="K15" s="22" t="n">
        <v>920</v>
      </c>
      <c r="L15" s="22" t="n">
        <v>920</v>
      </c>
      <c r="M15" s="22" t="n">
        <v>920</v>
      </c>
      <c r="N15" s="22" t="n">
        <v>920</v>
      </c>
      <c r="O15" s="22" t="n">
        <v>920</v>
      </c>
    </row>
    <row r="16" customFormat="false" ht="15" hidden="false" customHeight="false" outlineLevel="0" collapsed="false">
      <c r="B16" s="6" t="s">
        <v>159</v>
      </c>
      <c r="F16" s="22" t="n">
        <v>165</v>
      </c>
      <c r="G16" s="22" t="n">
        <v>195</v>
      </c>
      <c r="H16" s="22" t="n">
        <v>195</v>
      </c>
      <c r="I16" s="22" t="n">
        <v>195</v>
      </c>
      <c r="J16" s="22" t="n">
        <v>195</v>
      </c>
      <c r="K16" s="22" t="n">
        <v>195</v>
      </c>
      <c r="L16" s="22" t="n">
        <v>195</v>
      </c>
      <c r="M16" s="22" t="n">
        <v>195</v>
      </c>
      <c r="N16" s="22" t="n">
        <v>195</v>
      </c>
      <c r="O16" s="22" t="n">
        <v>195</v>
      </c>
    </row>
    <row r="17" customFormat="false" ht="15" hidden="false" customHeight="false" outlineLevel="0" collapsed="false">
      <c r="B17" s="6" t="s">
        <v>160</v>
      </c>
      <c r="F17" s="22" t="n">
        <v>0</v>
      </c>
      <c r="G17" s="22" t="n">
        <v>0</v>
      </c>
      <c r="H17" s="22" t="n">
        <v>0</v>
      </c>
      <c r="I17" s="22" t="n">
        <v>250</v>
      </c>
      <c r="J17" s="22" t="n">
        <v>550</v>
      </c>
      <c r="K17" s="22" t="n">
        <v>800</v>
      </c>
      <c r="L17" s="22" t="n">
        <v>885</v>
      </c>
      <c r="M17" s="22" t="n">
        <v>885</v>
      </c>
      <c r="N17" s="22" t="n">
        <v>885</v>
      </c>
      <c r="O17" s="22" t="n">
        <v>885</v>
      </c>
    </row>
    <row r="18" customFormat="false" ht="15" hidden="false" customHeight="false" outlineLevel="0" collapsed="false">
      <c r="B18" s="6" t="s">
        <v>161</v>
      </c>
      <c r="F18" s="22" t="n">
        <v>0</v>
      </c>
      <c r="G18" s="22" t="n">
        <v>0</v>
      </c>
      <c r="H18" s="22" t="n">
        <v>0</v>
      </c>
      <c r="I18" s="22" t="n">
        <v>0</v>
      </c>
      <c r="J18" s="22" t="n">
        <v>0</v>
      </c>
      <c r="K18" s="22" t="n">
        <v>150</v>
      </c>
      <c r="L18" s="22" t="n">
        <v>350</v>
      </c>
      <c r="M18" s="22" t="n">
        <v>460</v>
      </c>
      <c r="N18" s="22" t="n">
        <v>500</v>
      </c>
      <c r="O18" s="22" t="n">
        <v>500</v>
      </c>
    </row>
    <row r="19" customFormat="false" ht="15" hidden="false" customHeight="false" outlineLevel="0" collapsed="false">
      <c r="B19" s="5" t="s">
        <v>164</v>
      </c>
      <c r="F19" s="39" t="n">
        <f aca="false">SUM(F15:F18)</f>
        <v>1065</v>
      </c>
      <c r="G19" s="39" t="n">
        <f aca="false">SUM(G15:G18)</f>
        <v>1115</v>
      </c>
      <c r="H19" s="39" t="n">
        <f aca="false">SUM(H15:H18)</f>
        <v>1115</v>
      </c>
      <c r="I19" s="39" t="n">
        <f aca="false">SUM(I15:I18)</f>
        <v>1365</v>
      </c>
      <c r="J19" s="39" t="n">
        <f aca="false">SUM(J15:J18)</f>
        <v>1665</v>
      </c>
      <c r="K19" s="39" t="n">
        <f aca="false">SUM(K15:K18)</f>
        <v>2065</v>
      </c>
      <c r="L19" s="39" t="n">
        <f aca="false">SUM(L15:L18)</f>
        <v>2350</v>
      </c>
      <c r="M19" s="39" t="n">
        <f aca="false">SUM(M15:M18)</f>
        <v>2460</v>
      </c>
      <c r="N19" s="39" t="n">
        <f aca="false">SUM(N15:N18)</f>
        <v>2500</v>
      </c>
      <c r="O19" s="39" t="n">
        <f aca="false">SUM(O15:O18)</f>
        <v>2500</v>
      </c>
    </row>
    <row r="21" customFormat="false" ht="15" hidden="false" customHeight="false" outlineLevel="0" collapsed="false">
      <c r="B21" s="19" t="s">
        <v>165</v>
      </c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</row>
    <row r="22" customFormat="false" ht="15" hidden="false" customHeight="false" outlineLevel="0" collapsed="false">
      <c r="B22" s="6" t="s">
        <v>158</v>
      </c>
      <c r="F22" s="22" t="n">
        <v>920</v>
      </c>
      <c r="G22" s="22" t="n">
        <v>960</v>
      </c>
      <c r="H22" s="22" t="n">
        <v>970</v>
      </c>
      <c r="I22" s="22" t="n">
        <v>970</v>
      </c>
      <c r="J22" s="22" t="n">
        <v>970</v>
      </c>
      <c r="K22" s="22" t="n">
        <v>970</v>
      </c>
      <c r="L22" s="22" t="n">
        <v>970</v>
      </c>
      <c r="M22" s="22" t="n">
        <v>970</v>
      </c>
      <c r="N22" s="22" t="n">
        <v>970</v>
      </c>
      <c r="O22" s="22" t="n">
        <v>970</v>
      </c>
    </row>
    <row r="23" customFormat="false" ht="15" hidden="false" customHeight="false" outlineLevel="0" collapsed="false">
      <c r="B23" s="6" t="s">
        <v>159</v>
      </c>
      <c r="F23" s="22" t="n">
        <v>180</v>
      </c>
      <c r="G23" s="22" t="n">
        <v>205</v>
      </c>
      <c r="H23" s="22" t="n">
        <v>205</v>
      </c>
      <c r="I23" s="22" t="n">
        <v>205</v>
      </c>
      <c r="J23" s="22" t="n">
        <v>205</v>
      </c>
      <c r="K23" s="22" t="n">
        <v>205</v>
      </c>
      <c r="L23" s="22" t="n">
        <v>205</v>
      </c>
      <c r="M23" s="22" t="n">
        <v>205</v>
      </c>
      <c r="N23" s="22" t="n">
        <v>205</v>
      </c>
      <c r="O23" s="22" t="n">
        <v>205</v>
      </c>
    </row>
    <row r="24" customFormat="false" ht="15" hidden="false" customHeight="false" outlineLevel="0" collapsed="false">
      <c r="B24" s="6" t="s">
        <v>160</v>
      </c>
      <c r="F24" s="22" t="n">
        <v>0</v>
      </c>
      <c r="G24" s="22" t="n">
        <v>0</v>
      </c>
      <c r="H24" s="22" t="n">
        <v>120</v>
      </c>
      <c r="I24" s="22" t="n">
        <v>450</v>
      </c>
      <c r="J24" s="22" t="n">
        <v>780</v>
      </c>
      <c r="K24" s="22" t="n">
        <v>925</v>
      </c>
      <c r="L24" s="22" t="n">
        <v>950</v>
      </c>
      <c r="M24" s="22" t="n">
        <v>950</v>
      </c>
      <c r="N24" s="22" t="n">
        <v>950</v>
      </c>
      <c r="O24" s="22" t="n">
        <v>950</v>
      </c>
    </row>
    <row r="25" customFormat="false" ht="15" hidden="false" customHeight="false" outlineLevel="0" collapsed="false">
      <c r="B25" s="6" t="s">
        <v>161</v>
      </c>
      <c r="F25" s="22" t="n">
        <v>0</v>
      </c>
      <c r="G25" s="22" t="n">
        <v>0</v>
      </c>
      <c r="H25" s="22" t="n">
        <v>0</v>
      </c>
      <c r="I25" s="22" t="n">
        <v>0</v>
      </c>
      <c r="J25" s="22" t="n">
        <v>180</v>
      </c>
      <c r="K25" s="22" t="n">
        <v>380</v>
      </c>
      <c r="L25" s="22" t="n">
        <v>500</v>
      </c>
      <c r="M25" s="22" t="n">
        <v>560</v>
      </c>
      <c r="N25" s="22" t="n">
        <v>560</v>
      </c>
      <c r="O25" s="22" t="n">
        <v>560</v>
      </c>
    </row>
    <row r="26" customFormat="false" ht="15" hidden="false" customHeight="false" outlineLevel="0" collapsed="false">
      <c r="B26" s="5" t="s">
        <v>166</v>
      </c>
      <c r="F26" s="39" t="n">
        <f aca="false">SUM(F22:F25)</f>
        <v>1100</v>
      </c>
      <c r="G26" s="39" t="n">
        <f aca="false">SUM(G22:G25)</f>
        <v>1165</v>
      </c>
      <c r="H26" s="39" t="n">
        <f aca="false">SUM(H22:H25)</f>
        <v>1295</v>
      </c>
      <c r="I26" s="39" t="n">
        <f aca="false">SUM(I22:I25)</f>
        <v>1625</v>
      </c>
      <c r="J26" s="39" t="n">
        <f aca="false">SUM(J22:J25)</f>
        <v>2135</v>
      </c>
      <c r="K26" s="39" t="n">
        <f aca="false">SUM(K22:K25)</f>
        <v>2480</v>
      </c>
      <c r="L26" s="39" t="n">
        <f aca="false">SUM(L22:L25)</f>
        <v>2625</v>
      </c>
      <c r="M26" s="39" t="n">
        <f aca="false">SUM(M22:M25)</f>
        <v>2685</v>
      </c>
      <c r="N26" s="39" t="n">
        <f aca="false">SUM(N22:N25)</f>
        <v>2685</v>
      </c>
      <c r="O26" s="39" t="n">
        <f aca="false">SUM(O22:O25)</f>
        <v>2685</v>
      </c>
    </row>
    <row r="28" customFormat="false" ht="15" hidden="false" customHeight="false" outlineLevel="0" collapsed="false">
      <c r="B28" s="19" t="s">
        <v>167</v>
      </c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</row>
    <row r="29" customFormat="false" ht="15" hidden="false" customHeight="false" outlineLevel="0" collapsed="false">
      <c r="B29" s="6" t="s">
        <v>158</v>
      </c>
      <c r="F29" s="40" t="n">
        <f aca="false">CHOOSE(Assumptions!$C$8,F8,F15,F22)</f>
        <v>900</v>
      </c>
      <c r="G29" s="40" t="n">
        <f aca="false">CHOOSE(Assumptions!$C$8,G8,G15,G22)</f>
        <v>920</v>
      </c>
      <c r="H29" s="40" t="n">
        <f aca="false">CHOOSE(Assumptions!$C$8,H8,H15,H22)</f>
        <v>920</v>
      </c>
      <c r="I29" s="40" t="n">
        <f aca="false">CHOOSE(Assumptions!$C$8,I8,I15,I22)</f>
        <v>920</v>
      </c>
      <c r="J29" s="40" t="n">
        <f aca="false">CHOOSE(Assumptions!$C$8,J8,J15,J22)</f>
        <v>920</v>
      </c>
      <c r="K29" s="40" t="n">
        <f aca="false">CHOOSE(Assumptions!$C$8,K8,K15,K22)</f>
        <v>920</v>
      </c>
      <c r="L29" s="40" t="n">
        <f aca="false">CHOOSE(Assumptions!$C$8,L8,L15,L22)</f>
        <v>920</v>
      </c>
      <c r="M29" s="40" t="n">
        <f aca="false">CHOOSE(Assumptions!$C$8,M8,M15,M22)</f>
        <v>920</v>
      </c>
      <c r="N29" s="40" t="n">
        <f aca="false">CHOOSE(Assumptions!$C$8,N8,N15,N22)</f>
        <v>920</v>
      </c>
      <c r="O29" s="40" t="n">
        <f aca="false">CHOOSE(Assumptions!$C$8,O8,O15,O22)</f>
        <v>920</v>
      </c>
    </row>
    <row r="30" customFormat="false" ht="15" hidden="false" customHeight="false" outlineLevel="0" collapsed="false">
      <c r="B30" s="6" t="s">
        <v>159</v>
      </c>
      <c r="F30" s="40" t="n">
        <f aca="false">CHOOSE(Assumptions!$C$8,F9,F16,F23)</f>
        <v>165</v>
      </c>
      <c r="G30" s="40" t="n">
        <f aca="false">CHOOSE(Assumptions!$C$8,G9,G16,G23)</f>
        <v>195</v>
      </c>
      <c r="H30" s="40" t="n">
        <f aca="false">CHOOSE(Assumptions!$C$8,H9,H16,H23)</f>
        <v>195</v>
      </c>
      <c r="I30" s="40" t="n">
        <f aca="false">CHOOSE(Assumptions!$C$8,I9,I16,I23)</f>
        <v>195</v>
      </c>
      <c r="J30" s="40" t="n">
        <f aca="false">CHOOSE(Assumptions!$C$8,J9,J16,J23)</f>
        <v>195</v>
      </c>
      <c r="K30" s="40" t="n">
        <f aca="false">CHOOSE(Assumptions!$C$8,K9,K16,K23)</f>
        <v>195</v>
      </c>
      <c r="L30" s="40" t="n">
        <f aca="false">CHOOSE(Assumptions!$C$8,L9,L16,L23)</f>
        <v>195</v>
      </c>
      <c r="M30" s="40" t="n">
        <f aca="false">CHOOSE(Assumptions!$C$8,M9,M16,M23)</f>
        <v>195</v>
      </c>
      <c r="N30" s="40" t="n">
        <f aca="false">CHOOSE(Assumptions!$C$8,N9,N16,N23)</f>
        <v>195</v>
      </c>
      <c r="O30" s="40" t="n">
        <f aca="false">CHOOSE(Assumptions!$C$8,O9,O16,O23)</f>
        <v>195</v>
      </c>
    </row>
    <row r="31" customFormat="false" ht="15" hidden="false" customHeight="false" outlineLevel="0" collapsed="false">
      <c r="B31" s="6" t="s">
        <v>160</v>
      </c>
      <c r="F31" s="40" t="n">
        <f aca="false">CHOOSE(Assumptions!$C$8,F10,F17,F24)</f>
        <v>0</v>
      </c>
      <c r="G31" s="40" t="n">
        <f aca="false">CHOOSE(Assumptions!$C$8,G10,G17,G24)</f>
        <v>0</v>
      </c>
      <c r="H31" s="40" t="n">
        <f aca="false">CHOOSE(Assumptions!$C$8,H10,H17,H24)</f>
        <v>0</v>
      </c>
      <c r="I31" s="40" t="n">
        <f aca="false">CHOOSE(Assumptions!$C$8,I10,I17,I24)</f>
        <v>250</v>
      </c>
      <c r="J31" s="40" t="n">
        <f aca="false">CHOOSE(Assumptions!$C$8,J10,J17,J24)</f>
        <v>550</v>
      </c>
      <c r="K31" s="40" t="n">
        <f aca="false">CHOOSE(Assumptions!$C$8,K10,K17,K24)</f>
        <v>800</v>
      </c>
      <c r="L31" s="40" t="n">
        <f aca="false">CHOOSE(Assumptions!$C$8,L10,L17,L24)</f>
        <v>885</v>
      </c>
      <c r="M31" s="40" t="n">
        <f aca="false">CHOOSE(Assumptions!$C$8,M10,M17,M24)</f>
        <v>885</v>
      </c>
      <c r="N31" s="40" t="n">
        <f aca="false">CHOOSE(Assumptions!$C$8,N10,N17,N24)</f>
        <v>885</v>
      </c>
      <c r="O31" s="40" t="n">
        <f aca="false">CHOOSE(Assumptions!$C$8,O10,O17,O24)</f>
        <v>885</v>
      </c>
    </row>
    <row r="32" customFormat="false" ht="15" hidden="false" customHeight="false" outlineLevel="0" collapsed="false">
      <c r="B32" s="6" t="s">
        <v>161</v>
      </c>
      <c r="F32" s="40" t="n">
        <f aca="false">CHOOSE(Assumptions!$C$8,F11,F18,F25)</f>
        <v>0</v>
      </c>
      <c r="G32" s="40" t="n">
        <f aca="false">CHOOSE(Assumptions!$C$8,G11,G18,G25)</f>
        <v>0</v>
      </c>
      <c r="H32" s="40" t="n">
        <f aca="false">CHOOSE(Assumptions!$C$8,H11,H18,H25)</f>
        <v>0</v>
      </c>
      <c r="I32" s="40" t="n">
        <f aca="false">CHOOSE(Assumptions!$C$8,I11,I18,I25)</f>
        <v>0</v>
      </c>
      <c r="J32" s="40" t="n">
        <f aca="false">CHOOSE(Assumptions!$C$8,J11,J18,J25)</f>
        <v>0</v>
      </c>
      <c r="K32" s="40" t="n">
        <f aca="false">CHOOSE(Assumptions!$C$8,K11,K18,K25)</f>
        <v>150</v>
      </c>
      <c r="L32" s="40" t="n">
        <f aca="false">CHOOSE(Assumptions!$C$8,L11,L18,L25)</f>
        <v>350</v>
      </c>
      <c r="M32" s="40" t="n">
        <f aca="false">CHOOSE(Assumptions!$C$8,M11,M18,M25)</f>
        <v>460</v>
      </c>
      <c r="N32" s="40" t="n">
        <f aca="false">CHOOSE(Assumptions!$C$8,N11,N18,N25)</f>
        <v>500</v>
      </c>
      <c r="O32" s="40" t="n">
        <f aca="false">CHOOSE(Assumptions!$C$8,O11,O18,O25)</f>
        <v>500</v>
      </c>
    </row>
    <row r="33" customFormat="false" ht="15" hidden="false" customHeight="false" outlineLevel="0" collapsed="false">
      <c r="B33" s="5" t="s">
        <v>168</v>
      </c>
      <c r="C33" s="41" t="n">
        <v>725.3</v>
      </c>
      <c r="D33" s="41" t="n">
        <v>755.6</v>
      </c>
      <c r="E33" s="41" t="n">
        <v>879.5</v>
      </c>
      <c r="F33" s="39" t="n">
        <f aca="false">SUM(F29:F32)</f>
        <v>1065</v>
      </c>
      <c r="G33" s="39" t="n">
        <f aca="false">SUM(G29:G32)</f>
        <v>1115</v>
      </c>
      <c r="H33" s="39" t="n">
        <f aca="false">SUM(H29:H32)</f>
        <v>1115</v>
      </c>
      <c r="I33" s="39" t="n">
        <f aca="false">SUM(I29:I32)</f>
        <v>1365</v>
      </c>
      <c r="J33" s="39" t="n">
        <f aca="false">SUM(J29:J32)</f>
        <v>1665</v>
      </c>
      <c r="K33" s="39" t="n">
        <f aca="false">SUM(K29:K32)</f>
        <v>2065</v>
      </c>
      <c r="L33" s="39" t="n">
        <f aca="false">SUM(L29:L32)</f>
        <v>2350</v>
      </c>
      <c r="M33" s="39" t="n">
        <f aca="false">SUM(M29:M32)</f>
        <v>2460</v>
      </c>
      <c r="N33" s="39" t="n">
        <f aca="false">SUM(N29:N32)</f>
        <v>2500</v>
      </c>
      <c r="O33" s="39" t="n">
        <f aca="false">SUM(O29:O32)</f>
        <v>2500</v>
      </c>
    </row>
    <row r="34" customFormat="false" ht="15" hidden="false" customHeight="false" outlineLevel="0" collapsed="false">
      <c r="B34" s="5" t="s">
        <v>169</v>
      </c>
      <c r="C34" s="41" t="n">
        <v>707</v>
      </c>
      <c r="D34" s="41" t="n">
        <v>749</v>
      </c>
      <c r="E34" s="41" t="n">
        <v>891.6</v>
      </c>
      <c r="F34" s="39" t="n">
        <f aca="false">F33</f>
        <v>1065</v>
      </c>
      <c r="G34" s="39" t="n">
        <f aca="false">G33</f>
        <v>1115</v>
      </c>
      <c r="H34" s="39" t="n">
        <f aca="false">H33</f>
        <v>1115</v>
      </c>
      <c r="I34" s="39" t="n">
        <f aca="false">I33</f>
        <v>1365</v>
      </c>
      <c r="J34" s="39" t="n">
        <f aca="false">J33</f>
        <v>1665</v>
      </c>
      <c r="K34" s="39" t="n">
        <f aca="false">K33</f>
        <v>2065</v>
      </c>
      <c r="L34" s="39" t="n">
        <f aca="false">L33</f>
        <v>2350</v>
      </c>
      <c r="M34" s="39" t="n">
        <f aca="false">M33</f>
        <v>2460</v>
      </c>
      <c r="N34" s="39" t="n">
        <f aca="false">N33</f>
        <v>2500</v>
      </c>
      <c r="O34" s="39" t="n">
        <f aca="false">O33</f>
        <v>2500</v>
      </c>
      <c r="Q34" s="11" t="s">
        <v>170</v>
      </c>
    </row>
    <row r="35" customFormat="false" ht="15" hidden="false" customHeight="false" outlineLevel="0" collapsed="false">
      <c r="B35" s="42" t="s">
        <v>171</v>
      </c>
      <c r="D35" s="24" t="n">
        <f aca="false">D33/C33-1</f>
        <v>0.0417758169033504</v>
      </c>
      <c r="E35" s="24" t="n">
        <f aca="false">E33/D33-1</f>
        <v>0.163975648491265</v>
      </c>
      <c r="F35" s="24" t="n">
        <f aca="false">F33/E33-1</f>
        <v>0.210915292779989</v>
      </c>
      <c r="G35" s="24" t="n">
        <f aca="false">G33/F33-1</f>
        <v>0.0469483568075118</v>
      </c>
      <c r="H35" s="24" t="n">
        <f aca="false">H33/G33-1</f>
        <v>0</v>
      </c>
      <c r="I35" s="24" t="n">
        <f aca="false">I33/H33-1</f>
        <v>0.224215246636771</v>
      </c>
      <c r="J35" s="24" t="n">
        <f aca="false">J33/I33-1</f>
        <v>0.21978021978022</v>
      </c>
      <c r="K35" s="24" t="n">
        <f aca="false">K33/J33-1</f>
        <v>0.24024024024024</v>
      </c>
      <c r="L35" s="24" t="n">
        <f aca="false">L33/K33-1</f>
        <v>0.138014527845036</v>
      </c>
      <c r="M35" s="24" t="n">
        <f aca="false">M33/L33-1</f>
        <v>0.0468085106382978</v>
      </c>
      <c r="N35" s="24" t="n">
        <f aca="false">N33/M33-1</f>
        <v>0.0162601626016261</v>
      </c>
      <c r="O35" s="24" t="n">
        <f aca="false">O33/N33-1</f>
        <v>0</v>
      </c>
    </row>
    <row r="37" customFormat="false" ht="18" hidden="false" customHeight="true" outlineLevel="0" collapsed="false">
      <c r="B37" s="37" t="s">
        <v>172</v>
      </c>
      <c r="C37" s="38" t="s">
        <v>144</v>
      </c>
      <c r="D37" s="38" t="s">
        <v>145</v>
      </c>
      <c r="E37" s="38" t="s">
        <v>146</v>
      </c>
      <c r="F37" s="38" t="s">
        <v>147</v>
      </c>
      <c r="G37" s="38" t="s">
        <v>148</v>
      </c>
      <c r="H37" s="38" t="s">
        <v>149</v>
      </c>
      <c r="I37" s="38" t="s">
        <v>150</v>
      </c>
      <c r="J37" s="38" t="s">
        <v>151</v>
      </c>
      <c r="K37" s="38" t="s">
        <v>152</v>
      </c>
      <c r="L37" s="38" t="s">
        <v>153</v>
      </c>
      <c r="M37" s="38" t="s">
        <v>154</v>
      </c>
      <c r="N37" s="38" t="s">
        <v>155</v>
      </c>
      <c r="O37" s="38" t="s">
        <v>156</v>
      </c>
    </row>
    <row r="38" customFormat="false" ht="15" hidden="false" customHeight="false" outlineLevel="0" collapsed="false">
      <c r="B38" s="6" t="s">
        <v>173</v>
      </c>
      <c r="F38" s="25" t="n">
        <v>1350</v>
      </c>
      <c r="G38" s="25" t="n">
        <v>1150</v>
      </c>
      <c r="H38" s="25" t="n">
        <v>1050</v>
      </c>
      <c r="I38" s="25" t="n">
        <v>1050</v>
      </c>
      <c r="J38" s="25" t="n">
        <v>1150</v>
      </c>
      <c r="K38" s="25" t="n">
        <v>1250</v>
      </c>
      <c r="L38" s="25" t="n">
        <v>1350</v>
      </c>
      <c r="M38" s="25" t="n">
        <v>1450</v>
      </c>
      <c r="N38" s="25" t="n">
        <v>1500</v>
      </c>
      <c r="O38" s="25" t="n">
        <v>1550</v>
      </c>
    </row>
    <row r="39" customFormat="false" ht="15" hidden="false" customHeight="false" outlineLevel="0" collapsed="false">
      <c r="B39" s="6" t="s">
        <v>174</v>
      </c>
      <c r="F39" s="25" t="n">
        <v>1700</v>
      </c>
      <c r="G39" s="25" t="n">
        <v>1780</v>
      </c>
      <c r="H39" s="25" t="n">
        <v>1850</v>
      </c>
      <c r="I39" s="25" t="n">
        <v>1800</v>
      </c>
      <c r="J39" s="25" t="n">
        <v>1750</v>
      </c>
      <c r="K39" s="25" t="n">
        <v>1750</v>
      </c>
      <c r="L39" s="25" t="n">
        <v>1750</v>
      </c>
      <c r="M39" s="25" t="n">
        <v>1750</v>
      </c>
      <c r="N39" s="25" t="n">
        <v>1750</v>
      </c>
      <c r="O39" s="25" t="n">
        <v>1750</v>
      </c>
    </row>
    <row r="40" customFormat="false" ht="15" hidden="false" customHeight="false" outlineLevel="0" collapsed="false">
      <c r="B40" s="6" t="s">
        <v>175</v>
      </c>
      <c r="F40" s="25" t="n">
        <v>2050</v>
      </c>
      <c r="G40" s="25" t="n">
        <v>2400</v>
      </c>
      <c r="H40" s="25" t="n">
        <v>2600</v>
      </c>
      <c r="I40" s="25" t="n">
        <v>2450</v>
      </c>
      <c r="J40" s="25" t="n">
        <v>2300</v>
      </c>
      <c r="K40" s="25" t="n">
        <v>2150</v>
      </c>
      <c r="L40" s="25" t="n">
        <v>2050</v>
      </c>
      <c r="M40" s="25" t="n">
        <v>1975</v>
      </c>
      <c r="N40" s="25" t="n">
        <v>1925</v>
      </c>
      <c r="O40" s="25" t="n">
        <v>1900</v>
      </c>
    </row>
    <row r="41" customFormat="false" ht="15" hidden="false" customHeight="false" outlineLevel="0" collapsed="false">
      <c r="B41" s="43" t="s">
        <v>176</v>
      </c>
      <c r="C41" s="44" t="n">
        <v>1116</v>
      </c>
      <c r="D41" s="44" t="n">
        <v>688</v>
      </c>
      <c r="E41" s="44" t="n">
        <v>1488</v>
      </c>
      <c r="F41" s="23" t="n">
        <f aca="false">CHOOSE(Assumptions!$C$8,F38,F39,F40)</f>
        <v>1700</v>
      </c>
      <c r="G41" s="23" t="n">
        <f aca="false">CHOOSE(Assumptions!$C$8,G38,G39,G40)</f>
        <v>1780</v>
      </c>
      <c r="H41" s="23" t="n">
        <f aca="false">CHOOSE(Assumptions!$C$8,H38,H39,H40)</f>
        <v>1850</v>
      </c>
      <c r="I41" s="23" t="n">
        <f aca="false">CHOOSE(Assumptions!$C$8,I38,I39,I40)</f>
        <v>1800</v>
      </c>
      <c r="J41" s="23" t="n">
        <f aca="false">CHOOSE(Assumptions!$C$8,J38,J39,J40)</f>
        <v>1750</v>
      </c>
      <c r="K41" s="23" t="n">
        <f aca="false">CHOOSE(Assumptions!$C$8,K38,K39,K40)</f>
        <v>1750</v>
      </c>
      <c r="L41" s="23" t="n">
        <f aca="false">CHOOSE(Assumptions!$C$8,L38,L39,L40)</f>
        <v>1750</v>
      </c>
      <c r="M41" s="23" t="n">
        <f aca="false">CHOOSE(Assumptions!$C$8,M38,M39,M40)</f>
        <v>1750</v>
      </c>
      <c r="N41" s="23" t="n">
        <f aca="false">CHOOSE(Assumptions!$C$8,N38,N39,N40)</f>
        <v>1750</v>
      </c>
      <c r="O41" s="23" t="n">
        <f aca="false">CHOOSE(Assumptions!$C$8,O38,O39,O40)</f>
        <v>1750</v>
      </c>
    </row>
    <row r="42" customFormat="false" ht="15" hidden="false" customHeight="false" outlineLevel="0" collapsed="false">
      <c r="B42" s="6" t="s">
        <v>177</v>
      </c>
      <c r="C42" s="45" t="n">
        <v>0.657</v>
      </c>
      <c r="D42" s="45" t="n">
        <v>0.646</v>
      </c>
      <c r="E42" s="45" t="n">
        <v>0.65</v>
      </c>
      <c r="F42" s="45" t="n">
        <v>0.66</v>
      </c>
      <c r="G42" s="45" t="n">
        <v>0.67</v>
      </c>
      <c r="H42" s="45" t="n">
        <v>0.68</v>
      </c>
      <c r="I42" s="45" t="n">
        <v>0.69</v>
      </c>
      <c r="J42" s="45" t="n">
        <v>0.7</v>
      </c>
      <c r="K42" s="45" t="n">
        <v>0.7</v>
      </c>
      <c r="L42" s="45" t="n">
        <v>0.7</v>
      </c>
      <c r="M42" s="45" t="n">
        <v>0.7</v>
      </c>
      <c r="N42" s="45" t="n">
        <v>0.7</v>
      </c>
      <c r="O42" s="45" t="n">
        <v>0.7</v>
      </c>
    </row>
    <row r="43" customFormat="false" ht="15" hidden="false" customHeight="false" outlineLevel="0" collapsed="false">
      <c r="B43" s="5" t="s">
        <v>178</v>
      </c>
      <c r="C43" s="23" t="n">
        <f aca="false">C41/C42</f>
        <v>1698.6301369863</v>
      </c>
      <c r="D43" s="23" t="n">
        <f aca="false">D41/D42</f>
        <v>1065.01547987616</v>
      </c>
      <c r="E43" s="23" t="n">
        <f aca="false">E41/E42</f>
        <v>2289.23076923077</v>
      </c>
      <c r="F43" s="23" t="n">
        <f aca="false">F41/F42</f>
        <v>2575.75757575758</v>
      </c>
      <c r="G43" s="23" t="n">
        <f aca="false">G41/G42</f>
        <v>2656.71641791045</v>
      </c>
      <c r="H43" s="23" t="n">
        <f aca="false">H41/H42</f>
        <v>2720.58823529412</v>
      </c>
      <c r="I43" s="23" t="n">
        <f aca="false">I41/I42</f>
        <v>2608.69565217391</v>
      </c>
      <c r="J43" s="23" t="n">
        <f aca="false">J41/J42</f>
        <v>2500</v>
      </c>
      <c r="K43" s="23" t="n">
        <f aca="false">K41/K42</f>
        <v>2500</v>
      </c>
      <c r="L43" s="23" t="n">
        <f aca="false">L41/L42</f>
        <v>2500</v>
      </c>
      <c r="M43" s="23" t="n">
        <f aca="false">M41/M42</f>
        <v>2500</v>
      </c>
      <c r="N43" s="23" t="n">
        <f aca="false">N41/N42</f>
        <v>2500</v>
      </c>
      <c r="O43" s="23" t="n">
        <f aca="false">O41/O42</f>
        <v>2500</v>
      </c>
    </row>
    <row r="45" customFormat="false" ht="18" hidden="false" customHeight="true" outlineLevel="0" collapsed="false">
      <c r="B45" s="37" t="s">
        <v>179</v>
      </c>
      <c r="C45" s="38" t="s">
        <v>144</v>
      </c>
      <c r="D45" s="38" t="s">
        <v>145</v>
      </c>
      <c r="E45" s="38" t="s">
        <v>146</v>
      </c>
      <c r="F45" s="38" t="s">
        <v>147</v>
      </c>
      <c r="G45" s="38" t="s">
        <v>148</v>
      </c>
      <c r="H45" s="38" t="s">
        <v>149</v>
      </c>
      <c r="I45" s="38" t="s">
        <v>150</v>
      </c>
      <c r="J45" s="38" t="s">
        <v>151</v>
      </c>
      <c r="K45" s="38" t="s">
        <v>152</v>
      </c>
      <c r="L45" s="38" t="s">
        <v>153</v>
      </c>
      <c r="M45" s="38" t="s">
        <v>154</v>
      </c>
      <c r="N45" s="38" t="s">
        <v>155</v>
      </c>
      <c r="O45" s="38" t="s">
        <v>156</v>
      </c>
    </row>
    <row r="46" customFormat="false" ht="15" hidden="false" customHeight="false" outlineLevel="0" collapsed="false">
      <c r="B46" s="6" t="s">
        <v>173</v>
      </c>
      <c r="F46" s="25" t="n">
        <v>625</v>
      </c>
      <c r="G46" s="25" t="n">
        <v>645</v>
      </c>
      <c r="H46" s="25" t="n">
        <v>655</v>
      </c>
      <c r="I46" s="25" t="n">
        <v>640</v>
      </c>
      <c r="J46" s="25" t="n">
        <v>625</v>
      </c>
      <c r="K46" s="25" t="n">
        <v>615</v>
      </c>
      <c r="L46" s="25" t="n">
        <v>610</v>
      </c>
      <c r="M46" s="25" t="n">
        <v>610</v>
      </c>
      <c r="N46" s="25" t="n">
        <v>610</v>
      </c>
      <c r="O46" s="25" t="n">
        <v>610</v>
      </c>
    </row>
    <row r="47" customFormat="false" ht="15" hidden="false" customHeight="false" outlineLevel="0" collapsed="false">
      <c r="B47" s="6" t="s">
        <v>174</v>
      </c>
      <c r="F47" s="25" t="n">
        <v>600</v>
      </c>
      <c r="G47" s="25" t="n">
        <v>590</v>
      </c>
      <c r="H47" s="25" t="n">
        <v>585</v>
      </c>
      <c r="I47" s="25" t="n">
        <v>580</v>
      </c>
      <c r="J47" s="25" t="n">
        <v>570</v>
      </c>
      <c r="K47" s="25" t="n">
        <v>565</v>
      </c>
      <c r="L47" s="25" t="n">
        <v>565</v>
      </c>
      <c r="M47" s="25" t="n">
        <v>565</v>
      </c>
      <c r="N47" s="25" t="n">
        <v>565</v>
      </c>
      <c r="O47" s="25" t="n">
        <v>565</v>
      </c>
    </row>
    <row r="48" customFormat="false" ht="15" hidden="false" customHeight="false" outlineLevel="0" collapsed="false">
      <c r="B48" s="6" t="s">
        <v>175</v>
      </c>
      <c r="F48" s="25" t="n">
        <v>585</v>
      </c>
      <c r="G48" s="25" t="n">
        <v>565</v>
      </c>
      <c r="H48" s="25" t="n">
        <v>550</v>
      </c>
      <c r="I48" s="25" t="n">
        <v>540</v>
      </c>
      <c r="J48" s="25" t="n">
        <v>530</v>
      </c>
      <c r="K48" s="25" t="n">
        <v>525</v>
      </c>
      <c r="L48" s="25" t="n">
        <v>520</v>
      </c>
      <c r="M48" s="25" t="n">
        <v>520</v>
      </c>
      <c r="N48" s="25" t="n">
        <v>520</v>
      </c>
      <c r="O48" s="25" t="n">
        <v>520</v>
      </c>
    </row>
    <row r="49" customFormat="false" ht="15" hidden="false" customHeight="false" outlineLevel="0" collapsed="false">
      <c r="B49" s="43" t="s">
        <v>180</v>
      </c>
      <c r="C49" s="44" t="n">
        <v>655</v>
      </c>
      <c r="D49" s="44" t="n">
        <v>627</v>
      </c>
      <c r="E49" s="44" t="n">
        <v>569</v>
      </c>
      <c r="F49" s="23" t="n">
        <f aca="false">CHOOSE(Assumptions!$C$8,F46,F47,F48)</f>
        <v>600</v>
      </c>
      <c r="G49" s="23" t="n">
        <f aca="false">CHOOSE(Assumptions!$C$8,G46,G47,G48)</f>
        <v>590</v>
      </c>
      <c r="H49" s="23" t="n">
        <f aca="false">CHOOSE(Assumptions!$C$8,H46,H47,H48)</f>
        <v>585</v>
      </c>
      <c r="I49" s="23" t="n">
        <f aca="false">CHOOSE(Assumptions!$C$8,I46,I47,I48)</f>
        <v>580</v>
      </c>
      <c r="J49" s="23" t="n">
        <f aca="false">CHOOSE(Assumptions!$C$8,J46,J47,J48)</f>
        <v>570</v>
      </c>
      <c r="K49" s="23" t="n">
        <f aca="false">CHOOSE(Assumptions!$C$8,K46,K47,K48)</f>
        <v>565</v>
      </c>
      <c r="L49" s="23" t="n">
        <f aca="false">CHOOSE(Assumptions!$C$8,L46,L47,L48)</f>
        <v>565</v>
      </c>
      <c r="M49" s="23" t="n">
        <f aca="false">CHOOSE(Assumptions!$C$8,M46,M47,M48)</f>
        <v>565</v>
      </c>
      <c r="N49" s="23" t="n">
        <f aca="false">CHOOSE(Assumptions!$C$8,N46,N47,N48)</f>
        <v>565</v>
      </c>
      <c r="O49" s="23" t="n">
        <f aca="false">CHOOSE(Assumptions!$C$8,O46,O47,O48)</f>
        <v>565</v>
      </c>
    </row>
    <row r="50" customFormat="false" ht="15" hidden="false" customHeight="false" outlineLevel="0" collapsed="false">
      <c r="B50" s="5" t="s">
        <v>181</v>
      </c>
      <c r="C50" s="23" t="n">
        <f aca="false">C43-C49</f>
        <v>1043.6301369863</v>
      </c>
      <c r="D50" s="23" t="n">
        <f aca="false">D43-D49</f>
        <v>438.015479876161</v>
      </c>
      <c r="E50" s="23" t="n">
        <f aca="false">E43-E49</f>
        <v>1720.23076923077</v>
      </c>
      <c r="F50" s="23" t="n">
        <f aca="false">F43-F49</f>
        <v>1975.75757575758</v>
      </c>
      <c r="G50" s="23" t="n">
        <f aca="false">G43-G49</f>
        <v>2066.71641791045</v>
      </c>
      <c r="H50" s="23" t="n">
        <f aca="false">H43-H49</f>
        <v>2135.58823529412</v>
      </c>
      <c r="I50" s="23" t="n">
        <f aca="false">I43-I49</f>
        <v>2028.69565217391</v>
      </c>
      <c r="J50" s="23" t="n">
        <f aca="false">J43-J49</f>
        <v>1930</v>
      </c>
      <c r="K50" s="23" t="n">
        <f aca="false">K43-K49</f>
        <v>1935</v>
      </c>
      <c r="L50" s="23" t="n">
        <f aca="false">L43-L49</f>
        <v>1935</v>
      </c>
      <c r="M50" s="23" t="n">
        <f aca="false">M43-M49</f>
        <v>1935</v>
      </c>
      <c r="N50" s="23" t="n">
        <f aca="false">N43-N49</f>
        <v>1935</v>
      </c>
      <c r="O50" s="23" t="n">
        <f aca="false">O43-O49</f>
        <v>1935</v>
      </c>
    </row>
    <row r="51" customFormat="false" ht="15" hidden="false" customHeight="false" outlineLevel="0" collapsed="false">
      <c r="B51" s="42" t="s">
        <v>182</v>
      </c>
      <c r="C51" s="24" t="n">
        <f aca="false">IFERROR(C50/C43,0)</f>
        <v>0.614395161290323</v>
      </c>
      <c r="D51" s="24" t="n">
        <f aca="false">IFERROR(D50/D43,0)</f>
        <v>0.411276162790698</v>
      </c>
      <c r="E51" s="24" t="n">
        <f aca="false">IFERROR(E50/E43,0)</f>
        <v>0.751444892473118</v>
      </c>
      <c r="F51" s="24" t="n">
        <f aca="false">IFERROR(F50/F43,0)</f>
        <v>0.767058823529412</v>
      </c>
      <c r="G51" s="24" t="n">
        <f aca="false">IFERROR(G50/G43,0)</f>
        <v>0.777921348314607</v>
      </c>
      <c r="H51" s="24" t="n">
        <f aca="false">IFERROR(H50/H43,0)</f>
        <v>0.784972972972973</v>
      </c>
      <c r="I51" s="24" t="n">
        <f aca="false">IFERROR(I50/I43,0)</f>
        <v>0.777666666666667</v>
      </c>
      <c r="J51" s="24" t="n">
        <f aca="false">IFERROR(J50/J43,0)</f>
        <v>0.772</v>
      </c>
      <c r="K51" s="24" t="n">
        <f aca="false">IFERROR(K50/K43,0)</f>
        <v>0.774</v>
      </c>
      <c r="L51" s="24" t="n">
        <f aca="false">IFERROR(L50/L43,0)</f>
        <v>0.774</v>
      </c>
      <c r="M51" s="24" t="n">
        <f aca="false">IFERROR(M50/M43,0)</f>
        <v>0.774</v>
      </c>
      <c r="N51" s="24" t="n">
        <f aca="false">IFERROR(N50/N43,0)</f>
        <v>0.774</v>
      </c>
      <c r="O51" s="24" t="n">
        <f aca="false">IFERROR(O50/O43,0)</f>
        <v>0.774</v>
      </c>
    </row>
    <row r="53" customFormat="false" ht="18" hidden="false" customHeight="true" outlineLevel="0" collapsed="false">
      <c r="B53" s="37" t="s">
        <v>183</v>
      </c>
      <c r="C53" s="38" t="s">
        <v>144</v>
      </c>
      <c r="D53" s="38" t="s">
        <v>145</v>
      </c>
      <c r="E53" s="38" t="s">
        <v>146</v>
      </c>
      <c r="F53" s="38" t="s">
        <v>147</v>
      </c>
      <c r="G53" s="38" t="s">
        <v>148</v>
      </c>
      <c r="H53" s="38" t="s">
        <v>149</v>
      </c>
      <c r="I53" s="38" t="s">
        <v>150</v>
      </c>
      <c r="J53" s="38" t="s">
        <v>151</v>
      </c>
      <c r="K53" s="38" t="s">
        <v>152</v>
      </c>
      <c r="L53" s="38" t="s">
        <v>153</v>
      </c>
      <c r="M53" s="38" t="s">
        <v>154</v>
      </c>
      <c r="N53" s="38" t="s">
        <v>155</v>
      </c>
      <c r="O53" s="38" t="s">
        <v>156</v>
      </c>
    </row>
    <row r="54" customFormat="false" ht="15" hidden="false" customHeight="false" outlineLevel="0" collapsed="false">
      <c r="B54" s="6" t="s">
        <v>173</v>
      </c>
      <c r="F54" s="25" t="n">
        <v>620</v>
      </c>
      <c r="G54" s="25" t="n">
        <v>400</v>
      </c>
      <c r="H54" s="25" t="n">
        <v>340</v>
      </c>
      <c r="I54" s="25" t="n">
        <v>320</v>
      </c>
      <c r="J54" s="25" t="n">
        <v>300</v>
      </c>
      <c r="K54" s="25" t="n">
        <v>295</v>
      </c>
      <c r="L54" s="25" t="n">
        <v>290</v>
      </c>
      <c r="M54" s="25" t="n">
        <v>290</v>
      </c>
      <c r="N54" s="25" t="n">
        <v>290</v>
      </c>
      <c r="O54" s="25" t="n">
        <v>290</v>
      </c>
    </row>
    <row r="55" customFormat="false" ht="15" hidden="false" customHeight="false" outlineLevel="0" collapsed="false">
      <c r="B55" s="6" t="s">
        <v>174</v>
      </c>
      <c r="F55" s="25" t="n">
        <v>652</v>
      </c>
      <c r="G55" s="25" t="n">
        <v>880</v>
      </c>
      <c r="H55" s="25" t="n">
        <v>1020</v>
      </c>
      <c r="I55" s="25" t="n">
        <v>760</v>
      </c>
      <c r="J55" s="25" t="n">
        <v>560</v>
      </c>
      <c r="K55" s="25" t="n">
        <v>520</v>
      </c>
      <c r="L55" s="25" t="n">
        <v>430</v>
      </c>
      <c r="M55" s="25" t="n">
        <v>390</v>
      </c>
      <c r="N55" s="25" t="n">
        <v>370</v>
      </c>
      <c r="O55" s="25" t="n">
        <v>370</v>
      </c>
    </row>
    <row r="56" customFormat="false" ht="15" hidden="false" customHeight="false" outlineLevel="0" collapsed="false">
      <c r="B56" s="6" t="s">
        <v>175</v>
      </c>
      <c r="F56" s="25" t="n">
        <v>685</v>
      </c>
      <c r="G56" s="25" t="n">
        <v>1020</v>
      </c>
      <c r="H56" s="25" t="n">
        <v>1130</v>
      </c>
      <c r="I56" s="25" t="n">
        <v>900</v>
      </c>
      <c r="J56" s="25" t="n">
        <v>720</v>
      </c>
      <c r="K56" s="25" t="n">
        <v>600</v>
      </c>
      <c r="L56" s="25" t="n">
        <v>480</v>
      </c>
      <c r="M56" s="25" t="n">
        <v>430</v>
      </c>
      <c r="N56" s="25" t="n">
        <v>410</v>
      </c>
      <c r="O56" s="25" t="n">
        <v>410</v>
      </c>
    </row>
    <row r="57" customFormat="false" ht="15" hidden="false" customHeight="false" outlineLevel="0" collapsed="false">
      <c r="B57" s="5" t="s">
        <v>184</v>
      </c>
      <c r="C57" s="44" t="n">
        <v>820</v>
      </c>
      <c r="D57" s="44" t="n">
        <v>500</v>
      </c>
      <c r="E57" s="44" t="n">
        <v>328</v>
      </c>
      <c r="F57" s="23" t="n">
        <f aca="false">CHOOSE(Assumptions!$C$8,F54,F55,F56)</f>
        <v>652</v>
      </c>
      <c r="G57" s="23" t="n">
        <f aca="false">CHOOSE(Assumptions!$C$8,G54,G55,G56)</f>
        <v>880</v>
      </c>
      <c r="H57" s="23" t="n">
        <f aca="false">CHOOSE(Assumptions!$C$8,H54,H55,H56)</f>
        <v>1020</v>
      </c>
      <c r="I57" s="23" t="n">
        <f aca="false">CHOOSE(Assumptions!$C$8,I54,I55,I56)</f>
        <v>760</v>
      </c>
      <c r="J57" s="23" t="n">
        <f aca="false">CHOOSE(Assumptions!$C$8,J54,J55,J56)</f>
        <v>560</v>
      </c>
      <c r="K57" s="23" t="n">
        <f aca="false">CHOOSE(Assumptions!$C$8,K54,K55,K56)</f>
        <v>520</v>
      </c>
      <c r="L57" s="23" t="n">
        <f aca="false">CHOOSE(Assumptions!$C$8,L54,L55,L56)</f>
        <v>430</v>
      </c>
      <c r="M57" s="23" t="n">
        <f aca="false">CHOOSE(Assumptions!$C$8,M54,M55,M56)</f>
        <v>390</v>
      </c>
      <c r="N57" s="23" t="n">
        <f aca="false">CHOOSE(Assumptions!$C$8,N54,N55,N56)</f>
        <v>370</v>
      </c>
      <c r="O57" s="23" t="n">
        <f aca="false">CHOOSE(Assumptions!$C$8,O54,O55,O56)</f>
        <v>370</v>
      </c>
    </row>
    <row r="59" customFormat="false" ht="15" hidden="false" customHeight="false" outlineLevel="0" collapsed="false">
      <c r="B59" s="11" t="s">
        <v>185</v>
      </c>
    </row>
    <row r="60" customFormat="false" ht="15" hidden="false" customHeight="false" outlineLevel="0" collapsed="false">
      <c r="B60" s="11" t="s">
        <v>186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E7C7B"/>
    <pageSetUpPr fitToPage="false"/>
  </sheetPr>
  <dimension ref="B2:Q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6"/>
    <col collapsed="false" customWidth="true" hidden="false" outlineLevel="0" max="15" min="3" style="0" width="11.5"/>
  </cols>
  <sheetData>
    <row r="2" customFormat="false" ht="19.7" hidden="false" customHeight="false" outlineLevel="0" collapsed="false">
      <c r="B2" s="12" t="s">
        <v>187</v>
      </c>
    </row>
    <row r="3" customFormat="false" ht="15" hidden="false" customHeight="false" outlineLevel="0" collapsed="false">
      <c r="B3" s="13" t="s">
        <v>188</v>
      </c>
    </row>
    <row r="4" customFormat="false" ht="15" hidden="false" customHeight="false" outlineLevel="0" collapsed="false">
      <c r="B4" s="11" t="s">
        <v>64</v>
      </c>
    </row>
    <row r="6" customFormat="false" ht="18" hidden="false" customHeight="true" outlineLevel="0" collapsed="false">
      <c r="B6" s="37" t="s">
        <v>189</v>
      </c>
      <c r="C6" s="38" t="s">
        <v>144</v>
      </c>
      <c r="D6" s="38" t="s">
        <v>145</v>
      </c>
      <c r="E6" s="38" t="s">
        <v>146</v>
      </c>
      <c r="F6" s="38" t="s">
        <v>147</v>
      </c>
      <c r="G6" s="38" t="s">
        <v>148</v>
      </c>
      <c r="H6" s="38" t="s">
        <v>149</v>
      </c>
      <c r="I6" s="38" t="s">
        <v>150</v>
      </c>
      <c r="J6" s="38" t="s">
        <v>151</v>
      </c>
      <c r="K6" s="38" t="s">
        <v>152</v>
      </c>
      <c r="L6" s="38" t="s">
        <v>153</v>
      </c>
      <c r="M6" s="38" t="s">
        <v>154</v>
      </c>
      <c r="N6" s="38" t="s">
        <v>155</v>
      </c>
      <c r="O6" s="38" t="s">
        <v>156</v>
      </c>
    </row>
    <row r="7" customFormat="false" ht="15" hidden="false" customHeight="false" outlineLevel="0" collapsed="false">
      <c r="B7" s="6" t="s">
        <v>158</v>
      </c>
      <c r="F7" s="46" t="n">
        <f aca="false">Deck!F29</f>
        <v>900</v>
      </c>
      <c r="G7" s="46" t="n">
        <f aca="false">Deck!G29</f>
        <v>920</v>
      </c>
      <c r="H7" s="46" t="n">
        <f aca="false">Deck!H29</f>
        <v>920</v>
      </c>
      <c r="I7" s="46" t="n">
        <f aca="false">Deck!I29</f>
        <v>920</v>
      </c>
      <c r="J7" s="46" t="n">
        <f aca="false">Deck!J29</f>
        <v>920</v>
      </c>
      <c r="K7" s="46" t="n">
        <f aca="false">Deck!K29</f>
        <v>920</v>
      </c>
      <c r="L7" s="46" t="n">
        <f aca="false">Deck!L29</f>
        <v>920</v>
      </c>
      <c r="M7" s="46" t="n">
        <f aca="false">Deck!M29</f>
        <v>920</v>
      </c>
      <c r="N7" s="46" t="n">
        <f aca="false">Deck!N29</f>
        <v>920</v>
      </c>
      <c r="O7" s="46" t="n">
        <f aca="false">Deck!O29</f>
        <v>920</v>
      </c>
    </row>
    <row r="8" customFormat="false" ht="15" hidden="false" customHeight="false" outlineLevel="0" collapsed="false">
      <c r="B8" s="6" t="s">
        <v>159</v>
      </c>
      <c r="F8" s="46" t="n">
        <f aca="false">Deck!F30</f>
        <v>165</v>
      </c>
      <c r="G8" s="46" t="n">
        <f aca="false">Deck!G30</f>
        <v>195</v>
      </c>
      <c r="H8" s="46" t="n">
        <f aca="false">Deck!H30</f>
        <v>195</v>
      </c>
      <c r="I8" s="46" t="n">
        <f aca="false">Deck!I30</f>
        <v>195</v>
      </c>
      <c r="J8" s="46" t="n">
        <f aca="false">Deck!J30</f>
        <v>195</v>
      </c>
      <c r="K8" s="46" t="n">
        <f aca="false">Deck!K30</f>
        <v>195</v>
      </c>
      <c r="L8" s="46" t="n">
        <f aca="false">Deck!L30</f>
        <v>195</v>
      </c>
      <c r="M8" s="46" t="n">
        <f aca="false">Deck!M30</f>
        <v>195</v>
      </c>
      <c r="N8" s="46" t="n">
        <f aca="false">Deck!N30</f>
        <v>195</v>
      </c>
      <c r="O8" s="46" t="n">
        <f aca="false">Deck!O30</f>
        <v>195</v>
      </c>
    </row>
    <row r="9" customFormat="false" ht="15" hidden="false" customHeight="false" outlineLevel="0" collapsed="false">
      <c r="B9" s="6" t="s">
        <v>160</v>
      </c>
      <c r="F9" s="46" t="n">
        <f aca="false">Deck!F31</f>
        <v>0</v>
      </c>
      <c r="G9" s="46" t="n">
        <f aca="false">Deck!G31</f>
        <v>0</v>
      </c>
      <c r="H9" s="46" t="n">
        <f aca="false">Deck!H31</f>
        <v>0</v>
      </c>
      <c r="I9" s="46" t="n">
        <f aca="false">Deck!I31</f>
        <v>250</v>
      </c>
      <c r="J9" s="46" t="n">
        <f aca="false">Deck!J31</f>
        <v>550</v>
      </c>
      <c r="K9" s="46" t="n">
        <f aca="false">Deck!K31</f>
        <v>800</v>
      </c>
      <c r="L9" s="46" t="n">
        <f aca="false">Deck!L31</f>
        <v>885</v>
      </c>
      <c r="M9" s="46" t="n">
        <f aca="false">Deck!M31</f>
        <v>885</v>
      </c>
      <c r="N9" s="46" t="n">
        <f aca="false">Deck!N31</f>
        <v>885</v>
      </c>
      <c r="O9" s="46" t="n">
        <f aca="false">Deck!O31</f>
        <v>885</v>
      </c>
    </row>
    <row r="10" customFormat="false" ht="15" hidden="false" customHeight="false" outlineLevel="0" collapsed="false">
      <c r="B10" s="6" t="s">
        <v>161</v>
      </c>
      <c r="F10" s="46" t="n">
        <f aca="false">Deck!F32</f>
        <v>0</v>
      </c>
      <c r="G10" s="46" t="n">
        <f aca="false">Deck!G32</f>
        <v>0</v>
      </c>
      <c r="H10" s="46" t="n">
        <f aca="false">Deck!H32</f>
        <v>0</v>
      </c>
      <c r="I10" s="46" t="n">
        <f aca="false">Deck!I32</f>
        <v>0</v>
      </c>
      <c r="J10" s="46" t="n">
        <f aca="false">Deck!J32</f>
        <v>0</v>
      </c>
      <c r="K10" s="46" t="n">
        <f aca="false">Deck!K32</f>
        <v>150</v>
      </c>
      <c r="L10" s="46" t="n">
        <f aca="false">Deck!L32</f>
        <v>350</v>
      </c>
      <c r="M10" s="46" t="n">
        <f aca="false">Deck!M32</f>
        <v>460</v>
      </c>
      <c r="N10" s="46" t="n">
        <f aca="false">Deck!N32</f>
        <v>500</v>
      </c>
      <c r="O10" s="46" t="n">
        <f aca="false">Deck!O32</f>
        <v>500</v>
      </c>
    </row>
    <row r="11" customFormat="false" ht="15" hidden="false" customHeight="false" outlineLevel="0" collapsed="false">
      <c r="B11" s="5" t="s">
        <v>190</v>
      </c>
      <c r="C11" s="47" t="n">
        <f aca="false">Deck!C34</f>
        <v>707</v>
      </c>
      <c r="D11" s="47" t="n">
        <f aca="false">Deck!D34</f>
        <v>749</v>
      </c>
      <c r="E11" s="47" t="n">
        <f aca="false">Deck!E34</f>
        <v>891.6</v>
      </c>
      <c r="F11" s="47" t="n">
        <f aca="false">Deck!F34</f>
        <v>1065</v>
      </c>
      <c r="G11" s="47" t="n">
        <f aca="false">Deck!G34</f>
        <v>1115</v>
      </c>
      <c r="H11" s="47" t="n">
        <f aca="false">Deck!H34</f>
        <v>1115</v>
      </c>
      <c r="I11" s="47" t="n">
        <f aca="false">Deck!I34</f>
        <v>1365</v>
      </c>
      <c r="J11" s="47" t="n">
        <f aca="false">Deck!J34</f>
        <v>1665</v>
      </c>
      <c r="K11" s="47" t="n">
        <f aca="false">Deck!K34</f>
        <v>2065</v>
      </c>
      <c r="L11" s="47" t="n">
        <f aca="false">Deck!L34</f>
        <v>2350</v>
      </c>
      <c r="M11" s="47" t="n">
        <f aca="false">Deck!M34</f>
        <v>2460</v>
      </c>
      <c r="N11" s="47" t="n">
        <f aca="false">Deck!N34</f>
        <v>2500</v>
      </c>
      <c r="O11" s="47" t="n">
        <f aca="false">Deck!O34</f>
        <v>2500</v>
      </c>
    </row>
    <row r="13" customFormat="false" ht="18" hidden="false" customHeight="true" outlineLevel="0" collapsed="false">
      <c r="B13" s="37" t="s">
        <v>191</v>
      </c>
      <c r="C13" s="38" t="s">
        <v>144</v>
      </c>
      <c r="D13" s="38" t="s">
        <v>145</v>
      </c>
      <c r="E13" s="38" t="s">
        <v>146</v>
      </c>
      <c r="F13" s="38" t="s">
        <v>147</v>
      </c>
      <c r="G13" s="38" t="s">
        <v>148</v>
      </c>
      <c r="H13" s="38" t="s">
        <v>149</v>
      </c>
      <c r="I13" s="38" t="s">
        <v>150</v>
      </c>
      <c r="J13" s="38" t="s">
        <v>151</v>
      </c>
      <c r="K13" s="38" t="s">
        <v>152</v>
      </c>
      <c r="L13" s="38" t="s">
        <v>153</v>
      </c>
      <c r="M13" s="38" t="s">
        <v>154</v>
      </c>
      <c r="N13" s="38" t="s">
        <v>155</v>
      </c>
      <c r="O13" s="38" t="s">
        <v>156</v>
      </c>
    </row>
    <row r="14" customFormat="false" ht="15" hidden="false" customHeight="false" outlineLevel="0" collapsed="false">
      <c r="B14" s="6" t="s">
        <v>192</v>
      </c>
      <c r="C14" s="48" t="n">
        <f aca="false">Deck!C41</f>
        <v>1116</v>
      </c>
      <c r="D14" s="48" t="n">
        <f aca="false">Deck!D41</f>
        <v>688</v>
      </c>
      <c r="E14" s="48" t="n">
        <f aca="false">Deck!E41</f>
        <v>1488</v>
      </c>
      <c r="F14" s="48" t="n">
        <f aca="false">Deck!F41</f>
        <v>1700</v>
      </c>
      <c r="G14" s="48" t="n">
        <f aca="false">Deck!G41</f>
        <v>1780</v>
      </c>
      <c r="H14" s="48" t="n">
        <f aca="false">Deck!H41</f>
        <v>1850</v>
      </c>
      <c r="I14" s="48" t="n">
        <f aca="false">Deck!I41</f>
        <v>1800</v>
      </c>
      <c r="J14" s="48" t="n">
        <f aca="false">Deck!J41</f>
        <v>1750</v>
      </c>
      <c r="K14" s="48" t="n">
        <f aca="false">Deck!K41</f>
        <v>1750</v>
      </c>
      <c r="L14" s="48" t="n">
        <f aca="false">Deck!L41</f>
        <v>1750</v>
      </c>
      <c r="M14" s="48" t="n">
        <f aca="false">Deck!M41</f>
        <v>1750</v>
      </c>
      <c r="N14" s="48" t="n">
        <f aca="false">Deck!N41</f>
        <v>1750</v>
      </c>
      <c r="O14" s="48" t="n">
        <f aca="false">Deck!O41</f>
        <v>1750</v>
      </c>
    </row>
    <row r="15" customFormat="false" ht="15" hidden="false" customHeight="false" outlineLevel="0" collapsed="false">
      <c r="B15" s="6" t="s">
        <v>193</v>
      </c>
      <c r="C15" s="49" t="n">
        <f aca="false">Deck!C42</f>
        <v>0.657</v>
      </c>
      <c r="D15" s="49" t="n">
        <f aca="false">Deck!D42</f>
        <v>0.646</v>
      </c>
      <c r="E15" s="49" t="n">
        <f aca="false">Deck!E42</f>
        <v>0.65</v>
      </c>
      <c r="F15" s="49" t="n">
        <f aca="false">Deck!F42</f>
        <v>0.66</v>
      </c>
      <c r="G15" s="49" t="n">
        <f aca="false">Deck!G42</f>
        <v>0.67</v>
      </c>
      <c r="H15" s="49" t="n">
        <f aca="false">Deck!H42</f>
        <v>0.68</v>
      </c>
      <c r="I15" s="49" t="n">
        <f aca="false">Deck!I42</f>
        <v>0.69</v>
      </c>
      <c r="J15" s="49" t="n">
        <f aca="false">Deck!J42</f>
        <v>0.7</v>
      </c>
      <c r="K15" s="49" t="n">
        <f aca="false">Deck!K42</f>
        <v>0.7</v>
      </c>
      <c r="L15" s="49" t="n">
        <f aca="false">Deck!L42</f>
        <v>0.7</v>
      </c>
      <c r="M15" s="49" t="n">
        <f aca="false">Deck!M42</f>
        <v>0.7</v>
      </c>
      <c r="N15" s="49" t="n">
        <f aca="false">Deck!N42</f>
        <v>0.7</v>
      </c>
      <c r="O15" s="49" t="n">
        <f aca="false">Deck!O42</f>
        <v>0.7</v>
      </c>
    </row>
    <row r="16" customFormat="false" ht="15" hidden="false" customHeight="false" outlineLevel="0" collapsed="false">
      <c r="B16" s="6" t="s">
        <v>178</v>
      </c>
      <c r="C16" s="50" t="n">
        <f aca="false">C14/C15</f>
        <v>1698.6301369863</v>
      </c>
      <c r="D16" s="50" t="n">
        <f aca="false">D14/D15</f>
        <v>1065.01547987616</v>
      </c>
      <c r="E16" s="50" t="n">
        <f aca="false">E14/E15</f>
        <v>2289.23076923077</v>
      </c>
      <c r="F16" s="50" t="n">
        <f aca="false">F14/F15</f>
        <v>2575.75757575758</v>
      </c>
      <c r="G16" s="50" t="n">
        <f aca="false">G14/G15</f>
        <v>2656.71641791045</v>
      </c>
      <c r="H16" s="50" t="n">
        <f aca="false">H14/H15</f>
        <v>2720.58823529412</v>
      </c>
      <c r="I16" s="50" t="n">
        <f aca="false">I14/I15</f>
        <v>2608.69565217391</v>
      </c>
      <c r="J16" s="50" t="n">
        <f aca="false">J14/J15</f>
        <v>2500</v>
      </c>
      <c r="K16" s="50" t="n">
        <f aca="false">K14/K15</f>
        <v>2500</v>
      </c>
      <c r="L16" s="50" t="n">
        <f aca="false">L14/L15</f>
        <v>2500</v>
      </c>
      <c r="M16" s="50" t="n">
        <f aca="false">M14/M15</f>
        <v>2500</v>
      </c>
      <c r="N16" s="50" t="n">
        <f aca="false">N14/N15</f>
        <v>2500</v>
      </c>
      <c r="O16" s="50" t="n">
        <f aca="false">O14/O15</f>
        <v>2500</v>
      </c>
    </row>
    <row r="18" customFormat="false" ht="18" hidden="false" customHeight="true" outlineLevel="0" collapsed="false">
      <c r="B18" s="37" t="s">
        <v>194</v>
      </c>
      <c r="C18" s="38" t="s">
        <v>144</v>
      </c>
      <c r="D18" s="38" t="s">
        <v>145</v>
      </c>
      <c r="E18" s="38" t="s">
        <v>146</v>
      </c>
      <c r="F18" s="38" t="s">
        <v>147</v>
      </c>
      <c r="G18" s="38" t="s">
        <v>148</v>
      </c>
      <c r="H18" s="38" t="s">
        <v>149</v>
      </c>
      <c r="I18" s="38" t="s">
        <v>150</v>
      </c>
      <c r="J18" s="38" t="s">
        <v>151</v>
      </c>
      <c r="K18" s="38" t="s">
        <v>152</v>
      </c>
      <c r="L18" s="38" t="s">
        <v>153</v>
      </c>
      <c r="M18" s="38" t="s">
        <v>154</v>
      </c>
      <c r="N18" s="38" t="s">
        <v>155</v>
      </c>
      <c r="O18" s="38" t="s">
        <v>156</v>
      </c>
    </row>
    <row r="19" customFormat="false" ht="15" hidden="false" customHeight="false" outlineLevel="0" collapsed="false">
      <c r="B19" s="5" t="s">
        <v>195</v>
      </c>
      <c r="C19" s="23" t="n">
        <f aca="false">C11*C16/1000</f>
        <v>1200.93150684932</v>
      </c>
      <c r="D19" s="23" t="n">
        <f aca="false">D11*D16/1000</f>
        <v>797.696594427245</v>
      </c>
      <c r="E19" s="23" t="n">
        <f aca="false">E11*E16/1000</f>
        <v>2041.07815384615</v>
      </c>
      <c r="F19" s="23" t="n">
        <f aca="false">F11*F16/1000</f>
        <v>2743.18181818182</v>
      </c>
      <c r="G19" s="23" t="n">
        <f aca="false">G11*G16/1000</f>
        <v>2962.23880597015</v>
      </c>
      <c r="H19" s="23" t="n">
        <f aca="false">H11*H16/1000</f>
        <v>3033.45588235294</v>
      </c>
      <c r="I19" s="23" t="n">
        <f aca="false">I11*I16/1000</f>
        <v>3560.86956521739</v>
      </c>
      <c r="J19" s="23" t="n">
        <f aca="false">J11*J16/1000</f>
        <v>4162.5</v>
      </c>
      <c r="K19" s="23" t="n">
        <f aca="false">K11*K16/1000</f>
        <v>5162.5</v>
      </c>
      <c r="L19" s="23" t="n">
        <f aca="false">L11*L16/1000</f>
        <v>5875</v>
      </c>
      <c r="M19" s="23" t="n">
        <f aca="false">M11*M16/1000</f>
        <v>6150</v>
      </c>
      <c r="N19" s="23" t="n">
        <f aca="false">N11*N16/1000</f>
        <v>6250</v>
      </c>
      <c r="O19" s="23" t="n">
        <f aca="false">O11*O16/1000</f>
        <v>6250</v>
      </c>
    </row>
    <row r="20" customFormat="false" ht="15" hidden="false" customHeight="false" outlineLevel="0" collapsed="false">
      <c r="B20" s="6" t="s">
        <v>196</v>
      </c>
      <c r="C20" s="26" t="n">
        <v>0</v>
      </c>
      <c r="D20" s="26" t="n">
        <v>0.036</v>
      </c>
      <c r="E20" s="26" t="n">
        <v>0.0525</v>
      </c>
      <c r="F20" s="26" t="n">
        <v>0.054</v>
      </c>
      <c r="G20" s="26" t="n">
        <v>0.054</v>
      </c>
      <c r="H20" s="26" t="n">
        <v>0.054</v>
      </c>
      <c r="I20" s="26" t="n">
        <v>0.054</v>
      </c>
      <c r="J20" s="26" t="n">
        <v>0.054</v>
      </c>
      <c r="K20" s="26" t="n">
        <v>0.054</v>
      </c>
      <c r="L20" s="26" t="n">
        <v>0.054</v>
      </c>
      <c r="M20" s="26" t="n">
        <v>0.054</v>
      </c>
      <c r="N20" s="26" t="n">
        <v>0.054</v>
      </c>
      <c r="O20" s="26" t="n">
        <v>0.054</v>
      </c>
      <c r="Q20" s="11" t="s">
        <v>197</v>
      </c>
    </row>
    <row r="21" customFormat="false" ht="15" hidden="false" customHeight="false" outlineLevel="0" collapsed="false">
      <c r="B21" s="5" t="s">
        <v>198</v>
      </c>
      <c r="C21" s="23" t="n">
        <f aca="false">C19*(1-C20)</f>
        <v>1200.93150684932</v>
      </c>
      <c r="D21" s="23" t="n">
        <f aca="false">D19*(1-D20)</f>
        <v>768.979517027864</v>
      </c>
      <c r="E21" s="23" t="n">
        <f aca="false">E19*(1-E20)</f>
        <v>1933.92155076923</v>
      </c>
      <c r="F21" s="23" t="n">
        <f aca="false">F19*(1-F20)</f>
        <v>2595.05</v>
      </c>
      <c r="G21" s="23" t="n">
        <f aca="false">G19*(1-G20)</f>
        <v>2802.27791044776</v>
      </c>
      <c r="H21" s="23" t="n">
        <f aca="false">H19*(1-H20)</f>
        <v>2869.64926470588</v>
      </c>
      <c r="I21" s="23" t="n">
        <f aca="false">I19*(1-I20)</f>
        <v>3368.58260869565</v>
      </c>
      <c r="J21" s="23" t="n">
        <f aca="false">J19*(1-J20)</f>
        <v>3937.725</v>
      </c>
      <c r="K21" s="23" t="n">
        <f aca="false">K19*(1-K20)</f>
        <v>4883.725</v>
      </c>
      <c r="L21" s="23" t="n">
        <f aca="false">L19*(1-L20)</f>
        <v>5557.75</v>
      </c>
      <c r="M21" s="23" t="n">
        <f aca="false">M19*(1-M20)</f>
        <v>5817.9</v>
      </c>
      <c r="N21" s="23" t="n">
        <f aca="false">N19*(1-N20)</f>
        <v>5912.5</v>
      </c>
      <c r="O21" s="23" t="n">
        <f aca="false">O19*(1-O20)</f>
        <v>5912.5</v>
      </c>
    </row>
    <row r="22" customFormat="false" ht="15" hidden="false" customHeight="false" outlineLevel="0" collapsed="false">
      <c r="B22" s="42" t="s">
        <v>199</v>
      </c>
      <c r="C22" s="25" t="n">
        <v>1254</v>
      </c>
      <c r="D22" s="25" t="n">
        <v>769</v>
      </c>
      <c r="E22" s="25" t="n">
        <v>1934</v>
      </c>
    </row>
    <row r="23" customFormat="false" ht="15" hidden="false" customHeight="false" outlineLevel="0" collapsed="false">
      <c r="B23" s="42" t="s">
        <v>200</v>
      </c>
      <c r="C23" s="24" t="n">
        <f aca="false">IFERROR(C21/C22-1,"")</f>
        <v>-0.042319372528457</v>
      </c>
      <c r="D23" s="24" t="n">
        <f aca="false">IFERROR(D21/D22-1,"")</f>
        <v>-2.66358545336631E-005</v>
      </c>
      <c r="E23" s="24" t="n">
        <f aca="false">IFERROR(E21/E22-1,"")</f>
        <v>-4.05632010183066E-005</v>
      </c>
    </row>
    <row r="25" customFormat="false" ht="15" hidden="false" customHeight="false" outlineLevel="0" collapsed="false">
      <c r="B25" s="11" t="s">
        <v>201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B2545"/>
    <pageSetUpPr fitToPage="false"/>
  </sheetPr>
  <dimension ref="B2:Q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6"/>
    <col collapsed="false" customWidth="true" hidden="false" outlineLevel="0" max="15" min="3" style="0" width="11.5"/>
  </cols>
  <sheetData>
    <row r="2" customFormat="false" ht="19.7" hidden="false" customHeight="false" outlineLevel="0" collapsed="false">
      <c r="B2" s="12" t="s">
        <v>202</v>
      </c>
    </row>
    <row r="3" customFormat="false" ht="15" hidden="false" customHeight="false" outlineLevel="0" collapsed="false">
      <c r="B3" s="13" t="s">
        <v>203</v>
      </c>
    </row>
    <row r="4" customFormat="false" ht="15" hidden="false" customHeight="false" outlineLevel="0" collapsed="false">
      <c r="B4" s="11" t="s">
        <v>64</v>
      </c>
    </row>
    <row r="6" customFormat="false" ht="18" hidden="false" customHeight="true" outlineLevel="0" collapsed="false">
      <c r="B6" s="37" t="s">
        <v>204</v>
      </c>
      <c r="C6" s="38" t="s">
        <v>144</v>
      </c>
      <c r="D6" s="38" t="s">
        <v>145</v>
      </c>
      <c r="E6" s="38" t="s">
        <v>146</v>
      </c>
      <c r="F6" s="38" t="s">
        <v>147</v>
      </c>
      <c r="G6" s="38" t="s">
        <v>148</v>
      </c>
      <c r="H6" s="38" t="s">
        <v>149</v>
      </c>
      <c r="I6" s="38" t="s">
        <v>150</v>
      </c>
      <c r="J6" s="38" t="s">
        <v>151</v>
      </c>
      <c r="K6" s="38" t="s">
        <v>152</v>
      </c>
      <c r="L6" s="38" t="s">
        <v>153</v>
      </c>
      <c r="M6" s="38" t="s">
        <v>154</v>
      </c>
      <c r="N6" s="38" t="s">
        <v>155</v>
      </c>
      <c r="O6" s="38" t="s">
        <v>156</v>
      </c>
    </row>
    <row r="7" customFormat="false" ht="15" hidden="false" customHeight="false" outlineLevel="0" collapsed="false">
      <c r="B7" s="5" t="s">
        <v>198</v>
      </c>
      <c r="C7" s="51" t="n">
        <f aca="false">'Revenue Build'!C21</f>
        <v>1200.93150684932</v>
      </c>
      <c r="D7" s="51" t="n">
        <f aca="false">'Revenue Build'!D21</f>
        <v>768.979517027864</v>
      </c>
      <c r="E7" s="51" t="n">
        <f aca="false">'Revenue Build'!E21</f>
        <v>1933.92155076923</v>
      </c>
      <c r="F7" s="51" t="n">
        <f aca="false">'Revenue Build'!F21</f>
        <v>2595.05</v>
      </c>
      <c r="G7" s="51" t="n">
        <f aca="false">'Revenue Build'!G21</f>
        <v>2802.27791044776</v>
      </c>
      <c r="H7" s="51" t="n">
        <f aca="false">'Revenue Build'!H21</f>
        <v>2869.64926470588</v>
      </c>
      <c r="I7" s="51" t="n">
        <f aca="false">'Revenue Build'!I21</f>
        <v>3368.58260869565</v>
      </c>
      <c r="J7" s="51" t="n">
        <f aca="false">'Revenue Build'!J21</f>
        <v>3937.725</v>
      </c>
      <c r="K7" s="51" t="n">
        <f aca="false">'Revenue Build'!K21</f>
        <v>4883.725</v>
      </c>
      <c r="L7" s="51" t="n">
        <f aca="false">'Revenue Build'!L21</f>
        <v>5557.75</v>
      </c>
      <c r="M7" s="51" t="n">
        <f aca="false">'Revenue Build'!M21</f>
        <v>5817.9</v>
      </c>
      <c r="N7" s="51" t="n">
        <f aca="false">'Revenue Build'!N21</f>
        <v>5912.5</v>
      </c>
      <c r="O7" s="51" t="n">
        <f aca="false">'Revenue Build'!O21</f>
        <v>5912.5</v>
      </c>
    </row>
    <row r="8" customFormat="false" ht="15" hidden="false" customHeight="false" outlineLevel="0" collapsed="false">
      <c r="B8" s="6" t="s">
        <v>205</v>
      </c>
      <c r="C8" s="50" t="n">
        <f aca="false">-Deck!C34*Deck!C49/1000</f>
        <v>-463.085</v>
      </c>
      <c r="D8" s="50" t="n">
        <f aca="false">-Deck!D34*Deck!D49/1000</f>
        <v>-469.623</v>
      </c>
      <c r="E8" s="50" t="n">
        <f aca="false">-Deck!E34*Deck!E49/1000</f>
        <v>-507.3204</v>
      </c>
      <c r="F8" s="50" t="n">
        <f aca="false">-Deck!F34*Deck!F49/1000</f>
        <v>-639</v>
      </c>
      <c r="G8" s="50" t="n">
        <f aca="false">-Deck!G34*Deck!G49/1000</f>
        <v>-657.85</v>
      </c>
      <c r="H8" s="50" t="n">
        <f aca="false">-Deck!H34*Deck!H49/1000</f>
        <v>-652.275</v>
      </c>
      <c r="I8" s="50" t="n">
        <f aca="false">-Deck!I34*Deck!I49/1000</f>
        <v>-791.7</v>
      </c>
      <c r="J8" s="50" t="n">
        <f aca="false">-Deck!J34*Deck!J49/1000</f>
        <v>-949.05</v>
      </c>
      <c r="K8" s="50" t="n">
        <f aca="false">-Deck!K34*Deck!K49/1000</f>
        <v>-1166.725</v>
      </c>
      <c r="L8" s="50" t="n">
        <f aca="false">-Deck!L34*Deck!L49/1000</f>
        <v>-1327.75</v>
      </c>
      <c r="M8" s="50" t="n">
        <f aca="false">-Deck!M34*Deck!M49/1000</f>
        <v>-1389.9</v>
      </c>
      <c r="N8" s="50" t="n">
        <f aca="false">-Deck!N34*Deck!N49/1000</f>
        <v>-1412.5</v>
      </c>
      <c r="O8" s="50" t="n">
        <f aca="false">-Deck!O34*Deck!O49/1000</f>
        <v>-1412.5</v>
      </c>
    </row>
    <row r="9" customFormat="false" ht="15" hidden="false" customHeight="false" outlineLevel="0" collapsed="false">
      <c r="B9" s="6" t="s">
        <v>206</v>
      </c>
      <c r="C9" s="50" t="n">
        <f aca="false">-C7*Assumptions!$C$42</f>
        <v>-60.0465753424658</v>
      </c>
      <c r="D9" s="50" t="n">
        <f aca="false">-D7*Assumptions!$C$42</f>
        <v>-38.4489758513932</v>
      </c>
      <c r="E9" s="50" t="n">
        <f aca="false">-E7*Assumptions!$C$42</f>
        <v>-96.6960775384615</v>
      </c>
      <c r="F9" s="50" t="n">
        <f aca="false">-F7*Assumptions!$C$42</f>
        <v>-129.7525</v>
      </c>
      <c r="G9" s="50" t="n">
        <f aca="false">-G7*Assumptions!$C$42</f>
        <v>-140.113895522388</v>
      </c>
      <c r="H9" s="50" t="n">
        <f aca="false">-H7*Assumptions!$C$42</f>
        <v>-143.482463235294</v>
      </c>
      <c r="I9" s="50" t="n">
        <f aca="false">-I7*Assumptions!$C$42</f>
        <v>-168.429130434783</v>
      </c>
      <c r="J9" s="50" t="n">
        <f aca="false">-J7*Assumptions!$C$42</f>
        <v>-196.88625</v>
      </c>
      <c r="K9" s="50" t="n">
        <f aca="false">-K7*Assumptions!$C$42</f>
        <v>-244.18625</v>
      </c>
      <c r="L9" s="50" t="n">
        <f aca="false">-L7*Assumptions!$C$42</f>
        <v>-277.8875</v>
      </c>
      <c r="M9" s="50" t="n">
        <f aca="false">-M7*Assumptions!$C$42</f>
        <v>-290.895</v>
      </c>
      <c r="N9" s="50" t="n">
        <f aca="false">-N7*Assumptions!$C$42</f>
        <v>-295.625</v>
      </c>
      <c r="O9" s="50" t="n">
        <f aca="false">-O7*Assumptions!$C$42</f>
        <v>-295.625</v>
      </c>
    </row>
    <row r="10" customFormat="false" ht="15" hidden="false" customHeight="false" outlineLevel="0" collapsed="false">
      <c r="B10" s="6" t="s">
        <v>207</v>
      </c>
      <c r="C10" s="50" t="n">
        <f aca="false">C27-C7-C8-C9</f>
        <v>-139.799931506849</v>
      </c>
      <c r="D10" s="50" t="n">
        <f aca="false">D27-D7-D8-D9</f>
        <v>-163.90754117647</v>
      </c>
      <c r="E10" s="50" t="n">
        <f aca="false">E27-E7-E8-E9</f>
        <v>-192.905073230769</v>
      </c>
      <c r="F10" s="50" t="n">
        <f aca="false">-Assumptions!$C$40*(1+Assumptions!$C$41)^(0)</f>
        <v>-95</v>
      </c>
      <c r="G10" s="50" t="n">
        <f aca="false">-Assumptions!$C$40*(1+Assumptions!$C$41)^(1)</f>
        <v>-97.375</v>
      </c>
      <c r="H10" s="50" t="n">
        <f aca="false">-Assumptions!$C$40*(1+Assumptions!$C$41)^(2)</f>
        <v>-99.809375</v>
      </c>
      <c r="I10" s="50" t="n">
        <f aca="false">-Assumptions!$C$40*(1+Assumptions!$C$41)^(3)</f>
        <v>-102.304609375</v>
      </c>
      <c r="J10" s="50" t="n">
        <f aca="false">-Assumptions!$C$40*(1+Assumptions!$C$41)^(4)</f>
        <v>-104.862224609375</v>
      </c>
      <c r="K10" s="50" t="n">
        <f aca="false">-Assumptions!$C$40*(1+Assumptions!$C$41)^(5)</f>
        <v>-107.483780224609</v>
      </c>
      <c r="L10" s="50" t="n">
        <f aca="false">-Assumptions!$C$40*(1+Assumptions!$C$41)^(6)</f>
        <v>-110.170874730225</v>
      </c>
      <c r="M10" s="50" t="n">
        <f aca="false">-Assumptions!$C$40*(1+Assumptions!$C$41)^(7)</f>
        <v>-112.92514659848</v>
      </c>
      <c r="N10" s="50" t="n">
        <f aca="false">-Assumptions!$C$40*(1+Assumptions!$C$41)^(8)</f>
        <v>-115.748275263442</v>
      </c>
      <c r="O10" s="50" t="n">
        <f aca="false">-Assumptions!$C$40*(1+Assumptions!$C$41)^(9)</f>
        <v>-118.641982145028</v>
      </c>
      <c r="Q10" s="11" t="s">
        <v>208</v>
      </c>
    </row>
    <row r="11" customFormat="false" ht="15" hidden="false" customHeight="false" outlineLevel="0" collapsed="false">
      <c r="B11" s="52" t="s">
        <v>209</v>
      </c>
      <c r="C11" s="23" t="n">
        <f aca="false">SUM(C7:C10)</f>
        <v>538</v>
      </c>
      <c r="D11" s="23" t="n">
        <f aca="false">SUM(D7:D10)</f>
        <v>97</v>
      </c>
      <c r="E11" s="23" t="n">
        <f aca="false">SUM(E7:E10)</f>
        <v>1137</v>
      </c>
      <c r="F11" s="23" t="n">
        <f aca="false">SUM(F7:F10)</f>
        <v>1731.2975</v>
      </c>
      <c r="G11" s="23" t="n">
        <f aca="false">SUM(G7:G10)</f>
        <v>1906.93901492537</v>
      </c>
      <c r="H11" s="23" t="n">
        <f aca="false">SUM(H7:H10)</f>
        <v>1974.08242647059</v>
      </c>
      <c r="I11" s="23" t="n">
        <f aca="false">SUM(I7:I10)</f>
        <v>2306.14886888587</v>
      </c>
      <c r="J11" s="23" t="n">
        <f aca="false">SUM(J7:J10)</f>
        <v>2686.92652539062</v>
      </c>
      <c r="K11" s="23" t="n">
        <f aca="false">SUM(K7:K10)</f>
        <v>3365.32996977539</v>
      </c>
      <c r="L11" s="23" t="n">
        <f aca="false">SUM(L7:L10)</f>
        <v>3841.94162526978</v>
      </c>
      <c r="M11" s="23" t="n">
        <f aca="false">SUM(M7:M10)</f>
        <v>4024.17985340152</v>
      </c>
      <c r="N11" s="23" t="n">
        <f aca="false">SUM(N7:N10)</f>
        <v>4088.62672473656</v>
      </c>
      <c r="O11" s="23" t="n">
        <f aca="false">SUM(O7:O10)</f>
        <v>4085.73301785497</v>
      </c>
    </row>
    <row r="12" customFormat="false" ht="15" hidden="false" customHeight="false" outlineLevel="0" collapsed="false">
      <c r="B12" s="42" t="s">
        <v>210</v>
      </c>
      <c r="C12" s="24" t="n">
        <f aca="false">IFERROR(C11/C7,0)</f>
        <v>0.447985581968335</v>
      </c>
      <c r="D12" s="24" t="n">
        <f aca="false">IFERROR(D11/D7,0)</f>
        <v>0.126141201231092</v>
      </c>
      <c r="E12" s="24" t="n">
        <f aca="false">IFERROR(E11/E7,0)</f>
        <v>0.587924571990912</v>
      </c>
      <c r="F12" s="24" t="n">
        <f aca="false">IFERROR(F11/F7,0)</f>
        <v>0.667153812065278</v>
      </c>
      <c r="G12" s="24" t="n">
        <f aca="false">IFERROR(G11/G7,0)</f>
        <v>0.680496037818274</v>
      </c>
      <c r="H12" s="24" t="n">
        <f aca="false">IFERROR(H11/H7,0)</f>
        <v>0.68791766671629</v>
      </c>
      <c r="I12" s="24" t="n">
        <f aca="false">IFERROR(I11/I7,0)</f>
        <v>0.684605110449951</v>
      </c>
      <c r="J12" s="24" t="n">
        <f aca="false">IFERROR(J11/J7,0)</f>
        <v>0.682355046477503</v>
      </c>
      <c r="K12" s="24" t="n">
        <f aca="false">IFERROR(K11/K7,0)</f>
        <v>0.689090800521199</v>
      </c>
      <c r="L12" s="24" t="n">
        <f aca="false">IFERROR(L11/L7,0)</f>
        <v>0.691276438355409</v>
      </c>
      <c r="M12" s="24" t="n">
        <f aca="false">IFERROR(M11/M7,0)</f>
        <v>0.691689416009474</v>
      </c>
      <c r="N12" s="24" t="n">
        <f aca="false">IFERROR(N11/N7,0)</f>
        <v>0.691522490441701</v>
      </c>
      <c r="O12" s="24" t="n">
        <f aca="false">IFERROR(O11/O7,0)</f>
        <v>0.69103306855898</v>
      </c>
    </row>
    <row r="13" customFormat="false" ht="15" hidden="false" customHeight="false" outlineLevel="0" collapsed="false">
      <c r="B13" s="6" t="s">
        <v>211</v>
      </c>
      <c r="C13" s="25" t="n">
        <v>-300</v>
      </c>
      <c r="D13" s="25" t="n">
        <v>-330</v>
      </c>
      <c r="E13" s="25" t="n">
        <v>-360</v>
      </c>
      <c r="F13" s="50" t="n">
        <f aca="false">-'Balance Sheet'!F25</f>
        <v>-368</v>
      </c>
      <c r="G13" s="50" t="n">
        <f aca="false">-'Balance Sheet'!G25</f>
        <v>-400.66</v>
      </c>
      <c r="H13" s="50" t="n">
        <f aca="false">-'Balance Sheet'!H25</f>
        <v>-455.7841</v>
      </c>
      <c r="I13" s="50" t="n">
        <f aca="false">-'Balance Sheet'!I25</f>
        <v>-520.6689285</v>
      </c>
      <c r="J13" s="50" t="n">
        <f aca="false">-'Balance Sheet'!J25</f>
        <v>-548.1920017225</v>
      </c>
      <c r="K13" s="50" t="n">
        <f aca="false">-'Balance Sheet'!K25</f>
        <v>-549.549921524413</v>
      </c>
      <c r="L13" s="50" t="n">
        <f aca="false">-'Balance Sheet'!L25</f>
        <v>-546.151680549105</v>
      </c>
      <c r="M13" s="50" t="n">
        <f aca="false">-'Balance Sheet'!M25</f>
        <v>-532.794237285958</v>
      </c>
      <c r="N13" s="50" t="n">
        <f aca="false">-'Balance Sheet'!N25</f>
        <v>-516.372899998073</v>
      </c>
      <c r="O13" s="50" t="n">
        <f aca="false">-'Balance Sheet'!O25</f>
        <v>-499.540016498294</v>
      </c>
    </row>
    <row r="14" customFormat="false" ht="15" hidden="false" customHeight="false" outlineLevel="0" collapsed="false">
      <c r="B14" s="5" t="s">
        <v>212</v>
      </c>
      <c r="C14" s="23" t="n">
        <f aca="false">C11+C13</f>
        <v>238</v>
      </c>
      <c r="D14" s="23" t="n">
        <f aca="false">D11+D13</f>
        <v>-233</v>
      </c>
      <c r="E14" s="23" t="n">
        <f aca="false">E11+E13</f>
        <v>777</v>
      </c>
      <c r="F14" s="23" t="n">
        <f aca="false">F11+F13</f>
        <v>1363.2975</v>
      </c>
      <c r="G14" s="23" t="n">
        <f aca="false">G11+G13</f>
        <v>1506.27901492537</v>
      </c>
      <c r="H14" s="23" t="n">
        <f aca="false">H11+H13</f>
        <v>1518.29832647059</v>
      </c>
      <c r="I14" s="23" t="n">
        <f aca="false">I11+I13</f>
        <v>1785.47994038587</v>
      </c>
      <c r="J14" s="23" t="n">
        <f aca="false">J11+J13</f>
        <v>2138.73452366813</v>
      </c>
      <c r="K14" s="23" t="n">
        <f aca="false">K11+K13</f>
        <v>2815.78004825098</v>
      </c>
      <c r="L14" s="23" t="n">
        <f aca="false">L11+L13</f>
        <v>3295.78994472067</v>
      </c>
      <c r="M14" s="23" t="n">
        <f aca="false">M11+M13</f>
        <v>3491.38561611556</v>
      </c>
      <c r="N14" s="23" t="n">
        <f aca="false">N11+N13</f>
        <v>3572.25382473848</v>
      </c>
      <c r="O14" s="23" t="n">
        <f aca="false">O11+O13</f>
        <v>3586.19300135668</v>
      </c>
    </row>
    <row r="15" customFormat="false" ht="15" hidden="false" customHeight="false" outlineLevel="0" collapsed="false">
      <c r="B15" s="6" t="s">
        <v>213</v>
      </c>
      <c r="C15" s="25" t="n">
        <v>-10</v>
      </c>
      <c r="D15" s="25" t="n">
        <v>25</v>
      </c>
      <c r="E15" s="25" t="n">
        <v>40</v>
      </c>
      <c r="F15" s="50" t="n">
        <f aca="false">'Balance Sheet'!F26</f>
        <v>39.85</v>
      </c>
      <c r="G15" s="50" t="n">
        <f aca="false">'Balance Sheet'!G26</f>
        <v>53.8760799624615</v>
      </c>
      <c r="H15" s="50" t="n">
        <f aca="false">'Balance Sheet'!H26</f>
        <v>64.6183905088303</v>
      </c>
      <c r="I15" s="50" t="n">
        <f aca="false">'Balance Sheet'!I26</f>
        <v>72.8593338280009</v>
      </c>
      <c r="J15" s="50" t="n">
        <f aca="false">'Balance Sheet'!J26</f>
        <v>87.7062541062278</v>
      </c>
      <c r="K15" s="50" t="n">
        <f aca="false">'Balance Sheet'!K26</f>
        <v>116.582849411795</v>
      </c>
      <c r="L15" s="50" t="n">
        <f aca="false">'Balance Sheet'!L26</f>
        <v>155.79072684005</v>
      </c>
      <c r="M15" s="50" t="n">
        <f aca="false">'Balance Sheet'!M26</f>
        <v>206.602043463865</v>
      </c>
      <c r="N15" s="50" t="n">
        <f aca="false">'Balance Sheet'!N26</f>
        <v>263.253160189415</v>
      </c>
      <c r="O15" s="50" t="n">
        <f aca="false">'Balance Sheet'!O26</f>
        <v>322.502453978328</v>
      </c>
    </row>
    <row r="16" customFormat="false" ht="15" hidden="false" customHeight="false" outlineLevel="0" collapsed="false">
      <c r="B16" s="6" t="s">
        <v>214</v>
      </c>
      <c r="C16" s="50" t="n">
        <f aca="false">C14+C15</f>
        <v>228</v>
      </c>
      <c r="D16" s="50" t="n">
        <f aca="false">D14+D15</f>
        <v>-208</v>
      </c>
      <c r="E16" s="50" t="n">
        <f aca="false">E14+E15</f>
        <v>817</v>
      </c>
      <c r="F16" s="50" t="n">
        <f aca="false">F14+F15</f>
        <v>1403.1475</v>
      </c>
      <c r="G16" s="50" t="n">
        <f aca="false">G14+G15</f>
        <v>1560.15509488783</v>
      </c>
      <c r="H16" s="50" t="n">
        <f aca="false">H14+H15</f>
        <v>1582.91671697942</v>
      </c>
      <c r="I16" s="50" t="n">
        <f aca="false">I14+I15</f>
        <v>1858.33927421387</v>
      </c>
      <c r="J16" s="50" t="n">
        <f aca="false">J14+J15</f>
        <v>2226.44077777435</v>
      </c>
      <c r="K16" s="50" t="n">
        <f aca="false">K14+K15</f>
        <v>2932.36289766277</v>
      </c>
      <c r="L16" s="50" t="n">
        <f aca="false">L14+L15</f>
        <v>3451.58067156072</v>
      </c>
      <c r="M16" s="50" t="n">
        <f aca="false">M14+M15</f>
        <v>3697.98765957943</v>
      </c>
      <c r="N16" s="50" t="n">
        <f aca="false">N14+N15</f>
        <v>3835.5069849279</v>
      </c>
      <c r="O16" s="50" t="n">
        <f aca="false">O14+O15</f>
        <v>3908.69545533501</v>
      </c>
    </row>
    <row r="17" customFormat="false" ht="15" hidden="false" customHeight="false" outlineLevel="0" collapsed="false">
      <c r="B17" s="6" t="s">
        <v>215</v>
      </c>
      <c r="C17" s="50" t="n">
        <f aca="false">-MAX(0,C16)*Assumptions!$C$31</f>
        <v>-68.4</v>
      </c>
      <c r="D17" s="50" t="n">
        <f aca="false">-MAX(0,D16)*Assumptions!$C$31</f>
        <v>-0</v>
      </c>
      <c r="E17" s="50" t="n">
        <f aca="false">-MAX(0,E16)*Assumptions!$C$31</f>
        <v>-245.1</v>
      </c>
      <c r="F17" s="50" t="n">
        <f aca="false">-MAX(0,F16)*Assumptions!$C$31</f>
        <v>-420.94425</v>
      </c>
      <c r="G17" s="50" t="n">
        <f aca="false">-MAX(0,G16)*Assumptions!$C$31</f>
        <v>-468.04652846635</v>
      </c>
      <c r="H17" s="50" t="n">
        <f aca="false">-MAX(0,H16)*Assumptions!$C$31</f>
        <v>-474.875015093826</v>
      </c>
      <c r="I17" s="50" t="n">
        <f aca="false">-MAX(0,I16)*Assumptions!$C$31</f>
        <v>-557.501782264161</v>
      </c>
      <c r="J17" s="50" t="n">
        <f aca="false">-MAX(0,J16)*Assumptions!$C$31</f>
        <v>-667.932233332306</v>
      </c>
      <c r="K17" s="50" t="n">
        <f aca="false">-MAX(0,K16)*Assumptions!$C$31</f>
        <v>-879.708869298832</v>
      </c>
      <c r="L17" s="50" t="n">
        <f aca="false">-MAX(0,L16)*Assumptions!$C$31</f>
        <v>-1035.47420146822</v>
      </c>
      <c r="M17" s="50" t="n">
        <f aca="false">-MAX(0,M16)*Assumptions!$C$31</f>
        <v>-1109.39629787383</v>
      </c>
      <c r="N17" s="50" t="n">
        <f aca="false">-MAX(0,N16)*Assumptions!$C$31</f>
        <v>-1150.65209547837</v>
      </c>
      <c r="O17" s="50" t="n">
        <f aca="false">-MAX(0,O16)*Assumptions!$C$31</f>
        <v>-1172.6086366005</v>
      </c>
    </row>
    <row r="18" customFormat="false" ht="15" hidden="false" customHeight="false" outlineLevel="0" collapsed="false">
      <c r="B18" s="52" t="s">
        <v>216</v>
      </c>
      <c r="C18" s="23" t="n">
        <f aca="false">C16+C17</f>
        <v>159.6</v>
      </c>
      <c r="D18" s="23" t="n">
        <f aca="false">D16+D17</f>
        <v>-208</v>
      </c>
      <c r="E18" s="23" t="n">
        <f aca="false">E16+E17</f>
        <v>571.9</v>
      </c>
      <c r="F18" s="23" t="n">
        <f aca="false">F16+F17</f>
        <v>982.20325</v>
      </c>
      <c r="G18" s="23" t="n">
        <f aca="false">G16+G17</f>
        <v>1092.10856642148</v>
      </c>
      <c r="H18" s="23" t="n">
        <f aca="false">H16+H17</f>
        <v>1108.04170188559</v>
      </c>
      <c r="I18" s="23" t="n">
        <f aca="false">I16+I17</f>
        <v>1300.83749194971</v>
      </c>
      <c r="J18" s="23" t="n">
        <f aca="false">J16+J17</f>
        <v>1558.50854444205</v>
      </c>
      <c r="K18" s="23" t="n">
        <f aca="false">K16+K17</f>
        <v>2052.65402836394</v>
      </c>
      <c r="L18" s="23" t="n">
        <f aca="false">L16+L17</f>
        <v>2416.1064700925</v>
      </c>
      <c r="M18" s="23" t="n">
        <f aca="false">M16+M17</f>
        <v>2588.5913617056</v>
      </c>
      <c r="N18" s="23" t="n">
        <f aca="false">N16+N17</f>
        <v>2684.85488944953</v>
      </c>
      <c r="O18" s="23" t="n">
        <f aca="false">O16+O17</f>
        <v>2736.0868187345</v>
      </c>
    </row>
    <row r="20" customFormat="false" ht="18" hidden="false" customHeight="true" outlineLevel="0" collapsed="false">
      <c r="B20" s="37" t="s">
        <v>217</v>
      </c>
      <c r="C20" s="38" t="s">
        <v>144</v>
      </c>
      <c r="D20" s="38" t="s">
        <v>145</v>
      </c>
      <c r="E20" s="38" t="s">
        <v>146</v>
      </c>
      <c r="F20" s="38" t="s">
        <v>147</v>
      </c>
      <c r="G20" s="38" t="s">
        <v>148</v>
      </c>
      <c r="H20" s="38" t="s">
        <v>149</v>
      </c>
      <c r="I20" s="38" t="s">
        <v>150</v>
      </c>
      <c r="J20" s="38" t="s">
        <v>151</v>
      </c>
      <c r="K20" s="38" t="s">
        <v>152</v>
      </c>
      <c r="L20" s="38" t="s">
        <v>153</v>
      </c>
      <c r="M20" s="38" t="s">
        <v>154</v>
      </c>
      <c r="N20" s="38" t="s">
        <v>155</v>
      </c>
      <c r="O20" s="38" t="s">
        <v>156</v>
      </c>
    </row>
    <row r="21" customFormat="false" ht="15" hidden="false" customHeight="false" outlineLevel="0" collapsed="false">
      <c r="B21" s="6" t="s">
        <v>218</v>
      </c>
      <c r="C21" s="53" t="n">
        <f aca="false">C18/Assumptions!$C$12</f>
        <v>0.0495652173913044</v>
      </c>
      <c r="D21" s="53" t="n">
        <f aca="false">D18/Assumptions!$C$12</f>
        <v>-0.0645962732919255</v>
      </c>
      <c r="E21" s="53" t="n">
        <f aca="false">E18/Assumptions!$C$12</f>
        <v>0.177608695652174</v>
      </c>
      <c r="F21" s="53" t="n">
        <f aca="false">F18/Assumptions!$C$12</f>
        <v>0.305032065217391</v>
      </c>
      <c r="G21" s="53" t="n">
        <f aca="false">G18/Assumptions!$C$12</f>
        <v>0.339164151062573</v>
      </c>
      <c r="H21" s="53" t="n">
        <f aca="false">H18/Assumptions!$C$12</f>
        <v>0.344112329778134</v>
      </c>
      <c r="I21" s="53" t="n">
        <f aca="false">I18/Assumptions!$C$12</f>
        <v>0.403986798742146</v>
      </c>
      <c r="J21" s="53" t="n">
        <f aca="false">J18/Assumptions!$C$12</f>
        <v>0.484008864733555</v>
      </c>
      <c r="K21" s="53" t="n">
        <f aca="false">K18/Assumptions!$C$12</f>
        <v>0.637470195144081</v>
      </c>
      <c r="L21" s="53" t="n">
        <f aca="false">L18/Assumptions!$C$12</f>
        <v>0.750343624252331</v>
      </c>
      <c r="M21" s="53" t="n">
        <f aca="false">M18/Assumptions!$C$12</f>
        <v>0.803910360778136</v>
      </c>
      <c r="N21" s="53" t="n">
        <f aca="false">N18/Assumptions!$C$12</f>
        <v>0.833805866288674</v>
      </c>
      <c r="O21" s="53" t="n">
        <f aca="false">O18/Assumptions!$C$12</f>
        <v>0.849716403333697</v>
      </c>
    </row>
    <row r="22" customFormat="false" ht="15" hidden="false" customHeight="false" outlineLevel="0" collapsed="false">
      <c r="B22" s="6" t="s">
        <v>219</v>
      </c>
      <c r="F22" s="26" t="n">
        <v>0.3</v>
      </c>
      <c r="G22" s="26" t="n">
        <v>0.3</v>
      </c>
      <c r="H22" s="26" t="n">
        <v>0.3</v>
      </c>
      <c r="I22" s="26" t="n">
        <v>0.5</v>
      </c>
      <c r="J22" s="26" t="n">
        <v>0.5</v>
      </c>
      <c r="K22" s="26" t="n">
        <v>0.5</v>
      </c>
      <c r="L22" s="26" t="n">
        <v>0.5</v>
      </c>
      <c r="M22" s="26" t="n">
        <v>0.5</v>
      </c>
      <c r="N22" s="26" t="n">
        <v>0.5</v>
      </c>
      <c r="O22" s="26" t="n">
        <v>0.5</v>
      </c>
      <c r="Q22" s="11" t="s">
        <v>220</v>
      </c>
    </row>
    <row r="23" customFormat="false" ht="15" hidden="false" customHeight="false" outlineLevel="0" collapsed="false">
      <c r="B23" s="6" t="s">
        <v>221</v>
      </c>
      <c r="F23" s="53" t="n">
        <f aca="false">MAX(0,F21)*F22</f>
        <v>0.0915096195652174</v>
      </c>
      <c r="G23" s="53" t="n">
        <f aca="false">MAX(0,G21)*G22</f>
        <v>0.101749245318772</v>
      </c>
      <c r="H23" s="53" t="n">
        <f aca="false">MAX(0,H21)*H22</f>
        <v>0.10323369893344</v>
      </c>
      <c r="I23" s="53" t="n">
        <f aca="false">MAX(0,I21)*I22</f>
        <v>0.201993399371073</v>
      </c>
      <c r="J23" s="53" t="n">
        <f aca="false">MAX(0,J21)*J22</f>
        <v>0.242004432366778</v>
      </c>
      <c r="K23" s="53" t="n">
        <f aca="false">MAX(0,K21)*K22</f>
        <v>0.31873509757204</v>
      </c>
      <c r="L23" s="53" t="n">
        <f aca="false">MAX(0,L21)*L22</f>
        <v>0.375171812126165</v>
      </c>
      <c r="M23" s="53" t="n">
        <f aca="false">MAX(0,M21)*M22</f>
        <v>0.401955180389068</v>
      </c>
      <c r="N23" s="53" t="n">
        <f aca="false">MAX(0,N21)*N22</f>
        <v>0.416902933144337</v>
      </c>
      <c r="O23" s="53" t="n">
        <f aca="false">MAX(0,O21)*O22</f>
        <v>0.424858201666848</v>
      </c>
    </row>
    <row r="24" customFormat="false" ht="15" hidden="false" customHeight="false" outlineLevel="0" collapsed="false">
      <c r="B24" s="6" t="s">
        <v>222</v>
      </c>
      <c r="F24" s="50" t="n">
        <f aca="false">F23*Assumptions!$C$12</f>
        <v>294.660975</v>
      </c>
      <c r="G24" s="50" t="n">
        <f aca="false">G23*Assumptions!$C$12</f>
        <v>327.632569926445</v>
      </c>
      <c r="H24" s="50" t="n">
        <f aca="false">H23*Assumptions!$C$12</f>
        <v>332.412510565678</v>
      </c>
      <c r="I24" s="50" t="n">
        <f aca="false">I23*Assumptions!$C$12</f>
        <v>650.418745974855</v>
      </c>
      <c r="J24" s="50" t="n">
        <f aca="false">J23*Assumptions!$C$12</f>
        <v>779.254272221024</v>
      </c>
      <c r="K24" s="50" t="n">
        <f aca="false">K23*Assumptions!$C$12</f>
        <v>1026.32701418197</v>
      </c>
      <c r="L24" s="50" t="n">
        <f aca="false">L23*Assumptions!$C$12</f>
        <v>1208.05323504625</v>
      </c>
      <c r="M24" s="50" t="n">
        <f aca="false">M23*Assumptions!$C$12</f>
        <v>1294.2956808528</v>
      </c>
      <c r="N24" s="50" t="n">
        <f aca="false">N23*Assumptions!$C$12</f>
        <v>1342.42744472476</v>
      </c>
      <c r="O24" s="50" t="n">
        <f aca="false">O23*Assumptions!$C$12</f>
        <v>1368.04340936725</v>
      </c>
    </row>
    <row r="25" customFormat="false" ht="15" hidden="false" customHeight="false" outlineLevel="0" collapsed="false">
      <c r="B25" s="42" t="s">
        <v>223</v>
      </c>
      <c r="F25" s="24" t="n">
        <f aca="false">F23/Assumptions!$C$11</f>
        <v>0.0166988356870835</v>
      </c>
      <c r="G25" s="24" t="n">
        <f aca="false">G23/Assumptions!$C$11</f>
        <v>0.0185673805326226</v>
      </c>
      <c r="H25" s="24" t="n">
        <f aca="false">H23/Assumptions!$C$11</f>
        <v>0.01883826622873</v>
      </c>
      <c r="I25" s="24" t="n">
        <f aca="false">I23/Assumptions!$C$11</f>
        <v>0.0368601093742834</v>
      </c>
      <c r="J25" s="24" t="n">
        <f aca="false">J23/Assumptions!$C$11</f>
        <v>0.0441613927676601</v>
      </c>
      <c r="K25" s="24" t="n">
        <f aca="false">K23/Assumptions!$C$11</f>
        <v>0.0581633389730001</v>
      </c>
      <c r="L25" s="24" t="n">
        <f aca="false">L23/Assumptions!$C$11</f>
        <v>0.068462009512074</v>
      </c>
      <c r="M25" s="24" t="n">
        <f aca="false">M23/Assumptions!$C$11</f>
        <v>0.0733494854724577</v>
      </c>
      <c r="N25" s="24" t="n">
        <f aca="false">N23/Assumptions!$C$11</f>
        <v>0.0760771775810834</v>
      </c>
      <c r="O25" s="24" t="n">
        <f aca="false">O23/Assumptions!$C$11</f>
        <v>0.0775288689173081</v>
      </c>
    </row>
    <row r="27" customFormat="false" ht="15" hidden="false" customHeight="false" outlineLevel="0" collapsed="false">
      <c r="B27" s="42" t="s">
        <v>224</v>
      </c>
      <c r="C27" s="25" t="n">
        <v>538</v>
      </c>
      <c r="D27" s="25" t="n">
        <v>97</v>
      </c>
      <c r="E27" s="25" t="n">
        <v>1137</v>
      </c>
    </row>
    <row r="28" customFormat="false" ht="15" hidden="false" customHeight="false" outlineLevel="0" collapsed="false">
      <c r="B28" s="42" t="s">
        <v>225</v>
      </c>
      <c r="C28" s="25" t="n">
        <v>257.8</v>
      </c>
      <c r="D28" s="25" t="n">
        <v>-196</v>
      </c>
      <c r="E28" s="25" t="n">
        <v>526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B2545"/>
    <pageSetUpPr fitToPage="false"/>
  </sheetPr>
  <dimension ref="B2:Q3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6"/>
    <col collapsed="false" customWidth="true" hidden="false" outlineLevel="0" max="15" min="3" style="0" width="11.5"/>
  </cols>
  <sheetData>
    <row r="2" customFormat="false" ht="19.7" hidden="false" customHeight="false" outlineLevel="0" collapsed="false">
      <c r="B2" s="12" t="s">
        <v>226</v>
      </c>
    </row>
    <row r="3" customFormat="false" ht="15" hidden="false" customHeight="false" outlineLevel="0" collapsed="false">
      <c r="B3" s="13" t="s">
        <v>227</v>
      </c>
    </row>
    <row r="4" customFormat="false" ht="15" hidden="false" customHeight="false" outlineLevel="0" collapsed="false">
      <c r="B4" s="11" t="s">
        <v>64</v>
      </c>
    </row>
    <row r="6" customFormat="false" ht="18" hidden="false" customHeight="true" outlineLevel="0" collapsed="false">
      <c r="B6" s="37" t="s">
        <v>204</v>
      </c>
      <c r="C6" s="38" t="s">
        <v>144</v>
      </c>
      <c r="D6" s="38" t="s">
        <v>145</v>
      </c>
      <c r="E6" s="38" t="s">
        <v>146</v>
      </c>
      <c r="F6" s="38" t="s">
        <v>147</v>
      </c>
      <c r="G6" s="38" t="s">
        <v>148</v>
      </c>
      <c r="H6" s="38" t="s">
        <v>149</v>
      </c>
      <c r="I6" s="38" t="s">
        <v>150</v>
      </c>
      <c r="J6" s="38" t="s">
        <v>151</v>
      </c>
      <c r="K6" s="38" t="s">
        <v>152</v>
      </c>
      <c r="L6" s="38" t="s">
        <v>153</v>
      </c>
      <c r="M6" s="38" t="s">
        <v>154</v>
      </c>
      <c r="N6" s="38" t="s">
        <v>155</v>
      </c>
      <c r="O6" s="38" t="s">
        <v>156</v>
      </c>
    </row>
    <row r="7" customFormat="false" ht="15" hidden="false" customHeight="false" outlineLevel="0" collapsed="false">
      <c r="B7" s="19" t="s">
        <v>228</v>
      </c>
      <c r="C7" s="20"/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  <c r="O7" s="20"/>
    </row>
    <row r="8" customFormat="false" ht="15" hidden="false" customHeight="false" outlineLevel="0" collapsed="false">
      <c r="B8" s="6" t="s">
        <v>229</v>
      </c>
      <c r="F8" s="26" t="n">
        <v>0.115</v>
      </c>
      <c r="G8" s="26" t="n">
        <v>0.115</v>
      </c>
      <c r="H8" s="26" t="n">
        <v>0.115</v>
      </c>
      <c r="I8" s="26" t="n">
        <v>0.115</v>
      </c>
      <c r="J8" s="26" t="n">
        <v>0.115</v>
      </c>
      <c r="K8" s="26" t="n">
        <v>0.115</v>
      </c>
      <c r="L8" s="26" t="n">
        <v>0.115</v>
      </c>
      <c r="M8" s="26" t="n">
        <v>0.115</v>
      </c>
      <c r="N8" s="26" t="n">
        <v>0.115</v>
      </c>
      <c r="O8" s="26" t="n">
        <v>0.115</v>
      </c>
      <c r="Q8" s="11" t="s">
        <v>230</v>
      </c>
    </row>
    <row r="9" customFormat="false" ht="15" hidden="false" customHeight="false" outlineLevel="0" collapsed="false">
      <c r="B9" s="6" t="s">
        <v>231</v>
      </c>
      <c r="F9" s="26" t="n">
        <v>0.04</v>
      </c>
      <c r="G9" s="26" t="n">
        <v>0.04</v>
      </c>
      <c r="H9" s="26" t="n">
        <v>0.04</v>
      </c>
      <c r="I9" s="26" t="n">
        <v>0.04</v>
      </c>
      <c r="J9" s="26" t="n">
        <v>0.04</v>
      </c>
      <c r="K9" s="26" t="n">
        <v>0.04</v>
      </c>
      <c r="L9" s="26" t="n">
        <v>0.04</v>
      </c>
      <c r="M9" s="26" t="n">
        <v>0.04</v>
      </c>
      <c r="N9" s="26" t="n">
        <v>0.04</v>
      </c>
      <c r="O9" s="26" t="n">
        <v>0.04</v>
      </c>
      <c r="Q9" s="11" t="s">
        <v>111</v>
      </c>
    </row>
    <row r="10" customFormat="false" ht="15" hidden="false" customHeight="false" outlineLevel="0" collapsed="false">
      <c r="B10" s="6" t="s">
        <v>232</v>
      </c>
      <c r="F10" s="24" t="n">
        <f aca="false">Assumptions!$C$29*0+0.0625</f>
        <v>0.0625</v>
      </c>
      <c r="G10" s="24" t="n">
        <f aca="false">Assumptions!$C$29*0+0.0625</f>
        <v>0.0625</v>
      </c>
      <c r="H10" s="24" t="n">
        <f aca="false">Assumptions!$C$29*0+0.0625</f>
        <v>0.0625</v>
      </c>
      <c r="I10" s="24" t="n">
        <f aca="false">Assumptions!$C$29*0+0.0625</f>
        <v>0.0625</v>
      </c>
      <c r="J10" s="24" t="n">
        <f aca="false">Assumptions!$C$29*0+0.0625</f>
        <v>0.0625</v>
      </c>
      <c r="K10" s="24" t="n">
        <f aca="false">Assumptions!$C$29*0+0.0625</f>
        <v>0.0625</v>
      </c>
      <c r="L10" s="24" t="n">
        <f aca="false">Assumptions!$C$29*0+0.0625</f>
        <v>0.0625</v>
      </c>
      <c r="M10" s="24" t="n">
        <f aca="false">Assumptions!$C$29*0+0.0625</f>
        <v>0.0625</v>
      </c>
      <c r="N10" s="24" t="n">
        <f aca="false">Assumptions!$C$29*0+0.0625</f>
        <v>0.0625</v>
      </c>
      <c r="O10" s="24" t="n">
        <f aca="false">Assumptions!$C$29*0+0.0625</f>
        <v>0.0625</v>
      </c>
    </row>
    <row r="12" customFormat="false" ht="15" hidden="false" customHeight="false" outlineLevel="0" collapsed="false">
      <c r="B12" s="19" t="s">
        <v>233</v>
      </c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</row>
    <row r="13" customFormat="false" ht="15" hidden="false" customHeight="false" outlineLevel="0" collapsed="false">
      <c r="B13" s="6" t="s">
        <v>234</v>
      </c>
      <c r="E13" s="48" t="n">
        <f aca="false">Assumptions!$C$19</f>
        <v>2290</v>
      </c>
      <c r="F13" s="48" t="n">
        <f aca="false">'Cash Flow'!F23</f>
        <v>2640.65199906154</v>
      </c>
      <c r="G13" s="48" t="n">
        <f aca="false">'Cash Flow'!G23</f>
        <v>2909.20976272076</v>
      </c>
      <c r="H13" s="48" t="n">
        <f aca="false">'Cash Flow'!H23</f>
        <v>3115.23334570002</v>
      </c>
      <c r="I13" s="48" t="n">
        <f aca="false">'Cash Flow'!I23</f>
        <v>3486.4063526557</v>
      </c>
      <c r="J13" s="48" t="n">
        <f aca="false">'Cash Flow'!J23</f>
        <v>4208.32123529487</v>
      </c>
      <c r="K13" s="48" t="n">
        <f aca="false">'Cash Flow'!K23</f>
        <v>5188.51817100126</v>
      </c>
      <c r="L13" s="48" t="n">
        <f aca="false">'Cash Flow'!L23</f>
        <v>6458.80108659661</v>
      </c>
      <c r="M13" s="48" t="n">
        <f aca="false">'Cash Flow'!M23</f>
        <v>7875.07900473537</v>
      </c>
      <c r="N13" s="48" t="n">
        <f aca="false">'Cash Flow'!N23</f>
        <v>9356.31134945821</v>
      </c>
      <c r="O13" s="48" t="n">
        <f aca="false">'Cash Flow'!O23</f>
        <v>10853.8947753238</v>
      </c>
    </row>
    <row r="14" customFormat="false" ht="15" hidden="false" customHeight="false" outlineLevel="0" collapsed="false">
      <c r="B14" s="6" t="s">
        <v>235</v>
      </c>
      <c r="E14" s="50" t="n">
        <f aca="false">'Income Statement'!E7*Assumptions!$C$44</f>
        <v>154.713724061538</v>
      </c>
      <c r="F14" s="50" t="n">
        <f aca="false">'Income Statement'!F7*Assumptions!$C$44</f>
        <v>207.604</v>
      </c>
      <c r="G14" s="50" t="n">
        <f aca="false">'Income Statement'!G7*Assumptions!$C$44</f>
        <v>224.182232835821</v>
      </c>
      <c r="H14" s="50" t="n">
        <f aca="false">'Income Statement'!H7*Assumptions!$C$44</f>
        <v>229.571941176471</v>
      </c>
      <c r="I14" s="50" t="n">
        <f aca="false">'Income Statement'!I7*Assumptions!$C$44</f>
        <v>269.486608695652</v>
      </c>
      <c r="J14" s="50" t="n">
        <f aca="false">'Income Statement'!J7*Assumptions!$C$44</f>
        <v>315.018</v>
      </c>
      <c r="K14" s="50" t="n">
        <f aca="false">'Income Statement'!K7*Assumptions!$C$44</f>
        <v>390.698</v>
      </c>
      <c r="L14" s="50" t="n">
        <f aca="false">'Income Statement'!L7*Assumptions!$C$44</f>
        <v>444.62</v>
      </c>
      <c r="M14" s="50" t="n">
        <f aca="false">'Income Statement'!M7*Assumptions!$C$44</f>
        <v>465.432</v>
      </c>
      <c r="N14" s="50" t="n">
        <f aca="false">'Income Statement'!N7*Assumptions!$C$44</f>
        <v>473</v>
      </c>
      <c r="O14" s="50" t="n">
        <f aca="false">'Income Statement'!O7*Assumptions!$C$44</f>
        <v>473</v>
      </c>
    </row>
    <row r="15" customFormat="false" ht="15" hidden="false" customHeight="false" outlineLevel="0" collapsed="false">
      <c r="B15" s="6" t="s">
        <v>236</v>
      </c>
      <c r="E15" s="25" t="n">
        <v>3200</v>
      </c>
      <c r="F15" s="50" t="n">
        <f aca="false">E15+Deck!F57-F25</f>
        <v>3484</v>
      </c>
      <c r="G15" s="50" t="n">
        <f aca="false">F15+Deck!G57-G25</f>
        <v>3963.34</v>
      </c>
      <c r="H15" s="50" t="n">
        <f aca="false">G15+Deck!H57-H25</f>
        <v>4527.5559</v>
      </c>
      <c r="I15" s="50" t="n">
        <f aca="false">H15+Deck!I57-I25</f>
        <v>4766.8869715</v>
      </c>
      <c r="J15" s="50" t="n">
        <f aca="false">I15+Deck!J57-J25</f>
        <v>4778.6949697775</v>
      </c>
      <c r="K15" s="50" t="n">
        <f aca="false">J15+Deck!K57-K25</f>
        <v>4749.14504825309</v>
      </c>
      <c r="L15" s="50" t="n">
        <f aca="false">K15+Deck!L57-L25</f>
        <v>4632.99336770398</v>
      </c>
      <c r="M15" s="50" t="n">
        <f aca="false">L15+Deck!M57-M25</f>
        <v>4490.19913041803</v>
      </c>
      <c r="N15" s="50" t="n">
        <f aca="false">M15+Deck!N57-N25</f>
        <v>4343.82623041995</v>
      </c>
      <c r="O15" s="50" t="n">
        <f aca="false">N15+Deck!O57-O25</f>
        <v>4214.28621392166</v>
      </c>
      <c r="Q15" s="11" t="s">
        <v>237</v>
      </c>
    </row>
    <row r="16" customFormat="false" ht="15" hidden="false" customHeight="false" outlineLevel="0" collapsed="false">
      <c r="B16" s="5" t="s">
        <v>238</v>
      </c>
      <c r="E16" s="23" t="n">
        <f aca="false">SUM(E13:E15)</f>
        <v>5644.71372406154</v>
      </c>
      <c r="F16" s="23" t="n">
        <f aca="false">SUM(F13:F15)</f>
        <v>6332.25599906154</v>
      </c>
      <c r="G16" s="23" t="n">
        <f aca="false">SUM(G13:G15)</f>
        <v>7096.73199555658</v>
      </c>
      <c r="H16" s="23" t="n">
        <f aca="false">SUM(H13:H15)</f>
        <v>7872.36118687649</v>
      </c>
      <c r="I16" s="23" t="n">
        <f aca="false">SUM(I13:I15)</f>
        <v>8522.77993285135</v>
      </c>
      <c r="J16" s="23" t="n">
        <f aca="false">SUM(J13:J15)</f>
        <v>9302.03420507237</v>
      </c>
      <c r="K16" s="23" t="n">
        <f aca="false">SUM(K13:K15)</f>
        <v>10328.3612192543</v>
      </c>
      <c r="L16" s="23" t="n">
        <f aca="false">SUM(L13:L15)</f>
        <v>11536.4144543006</v>
      </c>
      <c r="M16" s="23" t="n">
        <f aca="false">SUM(M13:M15)</f>
        <v>12830.7101351534</v>
      </c>
      <c r="N16" s="23" t="n">
        <f aca="false">SUM(N13:N15)</f>
        <v>14173.1375798782</v>
      </c>
      <c r="O16" s="23" t="n">
        <f aca="false">SUM(O13:O15)</f>
        <v>15541.1809892454</v>
      </c>
    </row>
    <row r="18" customFormat="false" ht="15" hidden="false" customHeight="false" outlineLevel="0" collapsed="false">
      <c r="B18" s="19" t="s">
        <v>239</v>
      </c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</row>
    <row r="19" customFormat="false" ht="15" hidden="false" customHeight="false" outlineLevel="0" collapsed="false">
      <c r="B19" s="6" t="s">
        <v>240</v>
      </c>
      <c r="E19" s="48" t="n">
        <f aca="false">Assumptions!$C$20</f>
        <v>828</v>
      </c>
      <c r="F19" s="50" t="n">
        <f aca="false">E19+'Cash Flow'!F20</f>
        <v>828</v>
      </c>
      <c r="G19" s="50" t="n">
        <f aca="false">F19+'Cash Flow'!G20</f>
        <v>828</v>
      </c>
      <c r="H19" s="50" t="n">
        <f aca="false">G19+'Cash Flow'!H20</f>
        <v>828</v>
      </c>
      <c r="I19" s="50" t="n">
        <f aca="false">H19+'Cash Flow'!I20</f>
        <v>828</v>
      </c>
      <c r="J19" s="50" t="n">
        <f aca="false">I19+'Cash Flow'!J20</f>
        <v>828</v>
      </c>
      <c r="K19" s="50" t="n">
        <f aca="false">J19+'Cash Flow'!K20</f>
        <v>828</v>
      </c>
      <c r="L19" s="50" t="n">
        <f aca="false">K19+'Cash Flow'!L20</f>
        <v>828</v>
      </c>
      <c r="M19" s="50" t="n">
        <f aca="false">L19+'Cash Flow'!M20</f>
        <v>828</v>
      </c>
      <c r="N19" s="50" t="n">
        <f aca="false">M19+'Cash Flow'!N20</f>
        <v>828</v>
      </c>
      <c r="O19" s="50" t="n">
        <f aca="false">N19+'Cash Flow'!O20</f>
        <v>828</v>
      </c>
    </row>
    <row r="20" customFormat="false" ht="15" hidden="false" customHeight="false" outlineLevel="0" collapsed="false">
      <c r="B20" s="6" t="s">
        <v>241</v>
      </c>
      <c r="E20" s="50" t="n">
        <f aca="false">E16-E19</f>
        <v>4816.71372406154</v>
      </c>
      <c r="F20" s="50" t="n">
        <f aca="false">E20+'Income Statement'!F18-'Income Statement'!F24</f>
        <v>5504.25599906154</v>
      </c>
      <c r="G20" s="50" t="n">
        <f aca="false">F20+'Income Statement'!G18-'Income Statement'!G24</f>
        <v>6268.73199555658</v>
      </c>
      <c r="H20" s="50" t="n">
        <f aca="false">G20+'Income Statement'!H18-'Income Statement'!H24</f>
        <v>7044.36118687649</v>
      </c>
      <c r="I20" s="50" t="n">
        <f aca="false">H20+'Income Statement'!I18-'Income Statement'!I24</f>
        <v>7694.77993285135</v>
      </c>
      <c r="J20" s="50" t="n">
        <f aca="false">I20+'Income Statement'!J18-'Income Statement'!J24</f>
        <v>8474.03420507237</v>
      </c>
      <c r="K20" s="50" t="n">
        <f aca="false">J20+'Income Statement'!K18-'Income Statement'!K24</f>
        <v>9500.36121925434</v>
      </c>
      <c r="L20" s="50" t="n">
        <f aca="false">K20+'Income Statement'!L18-'Income Statement'!L24</f>
        <v>10708.4144543006</v>
      </c>
      <c r="M20" s="50" t="n">
        <f aca="false">L20+'Income Statement'!M18-'Income Statement'!M24</f>
        <v>12002.7101351534</v>
      </c>
      <c r="N20" s="50" t="n">
        <f aca="false">M20+'Income Statement'!N18-'Income Statement'!N24</f>
        <v>13345.1375798782</v>
      </c>
      <c r="O20" s="50" t="n">
        <f aca="false">N20+'Income Statement'!O18-'Income Statement'!O24</f>
        <v>14713.1809892454</v>
      </c>
    </row>
    <row r="21" customFormat="false" ht="15" hidden="false" customHeight="false" outlineLevel="0" collapsed="false">
      <c r="B21" s="5" t="s">
        <v>242</v>
      </c>
      <c r="E21" s="23" t="n">
        <f aca="false">E19+E20</f>
        <v>5644.71372406154</v>
      </c>
      <c r="F21" s="23" t="n">
        <f aca="false">F19+F20</f>
        <v>6332.25599906154</v>
      </c>
      <c r="G21" s="23" t="n">
        <f aca="false">G19+G20</f>
        <v>7096.73199555658</v>
      </c>
      <c r="H21" s="23" t="n">
        <f aca="false">H19+H20</f>
        <v>7872.36118687649</v>
      </c>
      <c r="I21" s="23" t="n">
        <f aca="false">I19+I20</f>
        <v>8522.77993285135</v>
      </c>
      <c r="J21" s="23" t="n">
        <f aca="false">J19+J20</f>
        <v>9302.03420507237</v>
      </c>
      <c r="K21" s="23" t="n">
        <f aca="false">K19+K20</f>
        <v>10328.3612192543</v>
      </c>
      <c r="L21" s="23" t="n">
        <f aca="false">L19+L20</f>
        <v>11536.4144543006</v>
      </c>
      <c r="M21" s="23" t="n">
        <f aca="false">M19+M20</f>
        <v>12830.7101351534</v>
      </c>
      <c r="N21" s="23" t="n">
        <f aca="false">N19+N20</f>
        <v>14173.1375798782</v>
      </c>
      <c r="O21" s="23" t="n">
        <f aca="false">O19+O20</f>
        <v>15541.1809892454</v>
      </c>
    </row>
    <row r="22" customFormat="false" ht="15" hidden="false" customHeight="false" outlineLevel="0" collapsed="false">
      <c r="B22" s="5" t="s">
        <v>243</v>
      </c>
      <c r="E22" s="54" t="n">
        <f aca="false">E16-E21</f>
        <v>0</v>
      </c>
      <c r="F22" s="54" t="n">
        <f aca="false">F16-F21</f>
        <v>0</v>
      </c>
      <c r="G22" s="54" t="n">
        <f aca="false">G16-G21</f>
        <v>0</v>
      </c>
      <c r="H22" s="54" t="n">
        <f aca="false">H16-H21</f>
        <v>0</v>
      </c>
      <c r="I22" s="54" t="n">
        <f aca="false">I16-I21</f>
        <v>0</v>
      </c>
      <c r="J22" s="54" t="n">
        <f aca="false">J16-J21</f>
        <v>0</v>
      </c>
      <c r="K22" s="54" t="n">
        <f aca="false">K16-K21</f>
        <v>0</v>
      </c>
      <c r="L22" s="54" t="n">
        <f aca="false">L16-L21</f>
        <v>0</v>
      </c>
      <c r="M22" s="54" t="n">
        <f aca="false">M16-M21</f>
        <v>0</v>
      </c>
      <c r="N22" s="54" t="n">
        <f aca="false">N16-N21</f>
        <v>0</v>
      </c>
      <c r="O22" s="54" t="n">
        <f aca="false">O16-O21</f>
        <v>0</v>
      </c>
    </row>
    <row r="24" customFormat="false" ht="15" hidden="false" customHeight="false" outlineLevel="0" collapsed="false">
      <c r="B24" s="19" t="s">
        <v>244</v>
      </c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</row>
    <row r="25" customFormat="false" ht="15" hidden="false" customHeight="false" outlineLevel="0" collapsed="false">
      <c r="B25" s="6" t="s">
        <v>245</v>
      </c>
      <c r="F25" s="50" t="n">
        <f aca="false">E15*F8</f>
        <v>368</v>
      </c>
      <c r="G25" s="50" t="n">
        <f aca="false">F15*G8</f>
        <v>400.66</v>
      </c>
      <c r="H25" s="50" t="n">
        <f aca="false">G15*H8</f>
        <v>455.7841</v>
      </c>
      <c r="I25" s="50" t="n">
        <f aca="false">H15*I8</f>
        <v>520.6689285</v>
      </c>
      <c r="J25" s="50" t="n">
        <f aca="false">I15*J8</f>
        <v>548.1920017225</v>
      </c>
      <c r="K25" s="50" t="n">
        <f aca="false">J15*K8</f>
        <v>549.549921524413</v>
      </c>
      <c r="L25" s="50" t="n">
        <f aca="false">K15*L8</f>
        <v>546.151680549105</v>
      </c>
      <c r="M25" s="50" t="n">
        <f aca="false">L15*M8</f>
        <v>532.794237285958</v>
      </c>
      <c r="N25" s="50" t="n">
        <f aca="false">M15*N8</f>
        <v>516.372899998073</v>
      </c>
      <c r="O25" s="50" t="n">
        <f aca="false">N15*O8</f>
        <v>499.540016498294</v>
      </c>
    </row>
    <row r="26" customFormat="false" ht="15" hidden="false" customHeight="false" outlineLevel="0" collapsed="false">
      <c r="B26" s="6" t="s">
        <v>213</v>
      </c>
      <c r="F26" s="50" t="n">
        <f aca="false">E13*F9-E19*F10</f>
        <v>39.85</v>
      </c>
      <c r="G26" s="50" t="n">
        <f aca="false">F13*G9-F19*G10</f>
        <v>53.8760799624615</v>
      </c>
      <c r="H26" s="50" t="n">
        <f aca="false">G13*H9-G19*H10</f>
        <v>64.6183905088303</v>
      </c>
      <c r="I26" s="50" t="n">
        <f aca="false">H13*I9-H19*I10</f>
        <v>72.8593338280009</v>
      </c>
      <c r="J26" s="50" t="n">
        <f aca="false">I13*J9-I19*J10</f>
        <v>87.7062541062278</v>
      </c>
      <c r="K26" s="50" t="n">
        <f aca="false">J13*K9-J19*K10</f>
        <v>116.582849411795</v>
      </c>
      <c r="L26" s="50" t="n">
        <f aca="false">K13*L9-K19*L10</f>
        <v>155.79072684005</v>
      </c>
      <c r="M26" s="50" t="n">
        <f aca="false">L13*M9-L19*M10</f>
        <v>206.602043463865</v>
      </c>
      <c r="N26" s="50" t="n">
        <f aca="false">M13*N9-M19*N10</f>
        <v>263.253160189415</v>
      </c>
      <c r="O26" s="50" t="n">
        <f aca="false">N13*O9-N19*O10</f>
        <v>322.502453978328</v>
      </c>
    </row>
    <row r="27" customFormat="false" ht="15" hidden="false" customHeight="false" outlineLevel="0" collapsed="false">
      <c r="B27" s="6" t="s">
        <v>246</v>
      </c>
      <c r="E27" s="50" t="n">
        <f aca="false">E13-E19</f>
        <v>1462</v>
      </c>
      <c r="F27" s="50" t="n">
        <f aca="false">F13-F19</f>
        <v>1812.65199906154</v>
      </c>
      <c r="G27" s="50" t="n">
        <f aca="false">G13-G19</f>
        <v>2081.20976272076</v>
      </c>
      <c r="H27" s="50" t="n">
        <f aca="false">H13-H19</f>
        <v>2287.23334570002</v>
      </c>
      <c r="I27" s="50" t="n">
        <f aca="false">I13-I19</f>
        <v>2658.4063526557</v>
      </c>
      <c r="J27" s="50" t="n">
        <f aca="false">J13-J19</f>
        <v>3380.32123529487</v>
      </c>
      <c r="K27" s="50" t="n">
        <f aca="false">K13-K19</f>
        <v>4360.51817100126</v>
      </c>
      <c r="L27" s="50" t="n">
        <f aca="false">L13-L19</f>
        <v>5630.80108659661</v>
      </c>
      <c r="M27" s="50" t="n">
        <f aca="false">M13-M19</f>
        <v>7047.07900473537</v>
      </c>
      <c r="N27" s="50" t="n">
        <f aca="false">N13-N19</f>
        <v>8528.31134945821</v>
      </c>
      <c r="O27" s="50" t="n">
        <f aca="false">O13-O19</f>
        <v>10025.8947753238</v>
      </c>
    </row>
    <row r="28" customFormat="false" ht="15" hidden="false" customHeight="false" outlineLevel="0" collapsed="false">
      <c r="B28" s="42" t="s">
        <v>247</v>
      </c>
      <c r="F28" s="24" t="n">
        <f aca="false">IFERROR('Income Statement'!F18/E20,0)</f>
        <v>0.203915637562904</v>
      </c>
      <c r="G28" s="24" t="n">
        <f aca="false">IFERROR('Income Statement'!G18/F20,0)</f>
        <v>0.198411659379158</v>
      </c>
      <c r="H28" s="24" t="n">
        <f aca="false">IFERROR('Income Statement'!H18/G20,0)</f>
        <v>0.176756910754998</v>
      </c>
      <c r="I28" s="24" t="n">
        <f aca="false">IFERROR('Income Statement'!I18/H20,0)</f>
        <v>0.184663656141474</v>
      </c>
      <c r="J28" s="24" t="n">
        <f aca="false">IFERROR('Income Statement'!J18/I20,0)</f>
        <v>0.202541015863014</v>
      </c>
      <c r="K28" s="24" t="n">
        <f aca="false">IFERROR('Income Statement'!K18/J20,0)</f>
        <v>0.242228669213451</v>
      </c>
      <c r="L28" s="24" t="n">
        <f aca="false">IFERROR('Income Statement'!L18/K20,0)</f>
        <v>0.254317326923927</v>
      </c>
      <c r="M28" s="24" t="n">
        <f aca="false">IFERROR('Income Statement'!M18/L20,0)</f>
        <v>0.241734327033448</v>
      </c>
      <c r="N28" s="24" t="n">
        <f aca="false">IFERROR('Income Statement'!N18/M20,0)</f>
        <v>0.223687388866133</v>
      </c>
      <c r="O28" s="24" t="n">
        <f aca="false">IFERROR('Income Statement'!O18/N20,0)</f>
        <v>0.2050249989824</v>
      </c>
    </row>
    <row r="29" customFormat="false" ht="15" hidden="false" customHeight="false" outlineLevel="0" collapsed="false">
      <c r="B29" s="42" t="s">
        <v>248</v>
      </c>
      <c r="F29" s="24" t="n">
        <f aca="false">IFERROR('Income Statement'!F14*(1-Assumptions!$C$31)/(E15+E14),0)</f>
        <v>0.284467864770477</v>
      </c>
      <c r="G29" s="24" t="n">
        <f aca="false">IFERROR('Income Statement'!G14*(1-Assumptions!$C$31)/(F15+F14),0)</f>
        <v>0.285619830959052</v>
      </c>
      <c r="H29" s="24" t="n">
        <f aca="false">IFERROR('Income Statement'!H14*(1-Assumptions!$C$31)/(G15+G14),0)</f>
        <v>0.253803745851319</v>
      </c>
      <c r="I29" s="24" t="n">
        <f aca="false">IFERROR('Income Statement'!I14*(1-Assumptions!$C$31)/(H15+H14),0)</f>
        <v>0.262729108823154</v>
      </c>
      <c r="J29" s="24" t="n">
        <f aca="false">IFERROR('Income Statement'!J14*(1-Assumptions!$C$31)/(I15+I14),0)</f>
        <v>0.297260348687146</v>
      </c>
      <c r="K29" s="24" t="n">
        <f aca="false">IFERROR('Income Statement'!K14*(1-Assumptions!$C$31)/(J15+J14),0)</f>
        <v>0.386956635654675</v>
      </c>
      <c r="L29" s="24" t="n">
        <f aca="false">IFERROR('Income Statement'!L14*(1-Assumptions!$C$31)/(K15+K14),0)</f>
        <v>0.448856694581089</v>
      </c>
      <c r="M29" s="24" t="n">
        <f aca="false">IFERROR('Income Statement'!M14*(1-Assumptions!$C$31)/(L15+L14),0)</f>
        <v>0.481322573086343</v>
      </c>
      <c r="N29" s="24" t="n">
        <f aca="false">IFERROR('Income Statement'!N14*(1-Assumptions!$C$31)/(M15+M14),0)</f>
        <v>0.504593181273766</v>
      </c>
      <c r="O29" s="24" t="n">
        <f aca="false">IFERROR('Income Statement'!O14*(1-Assumptions!$C$31)/(N15+N14),0)</f>
        <v>0.521159572893875</v>
      </c>
    </row>
    <row r="31" customFormat="false" ht="15" hidden="false" customHeight="false" outlineLevel="0" collapsed="false">
      <c r="B31" s="11" t="s">
        <v>249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B2545"/>
    <pageSetUpPr fitToPage="false"/>
  </sheetPr>
  <dimension ref="B2:Q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6"/>
    <col collapsed="false" customWidth="true" hidden="false" outlineLevel="0" max="15" min="3" style="0" width="11.5"/>
  </cols>
  <sheetData>
    <row r="2" customFormat="false" ht="19.7" hidden="false" customHeight="false" outlineLevel="0" collapsed="false">
      <c r="B2" s="12" t="s">
        <v>250</v>
      </c>
    </row>
    <row r="3" customFormat="false" ht="15" hidden="false" customHeight="false" outlineLevel="0" collapsed="false">
      <c r="B3" s="13" t="s">
        <v>251</v>
      </c>
    </row>
    <row r="4" customFormat="false" ht="15" hidden="false" customHeight="false" outlineLevel="0" collapsed="false">
      <c r="B4" s="11" t="s">
        <v>64</v>
      </c>
    </row>
    <row r="6" customFormat="false" ht="18" hidden="false" customHeight="true" outlineLevel="0" collapsed="false">
      <c r="B6" s="37" t="s">
        <v>204</v>
      </c>
      <c r="C6" s="38" t="s">
        <v>144</v>
      </c>
      <c r="D6" s="38" t="s">
        <v>145</v>
      </c>
      <c r="E6" s="38" t="s">
        <v>146</v>
      </c>
      <c r="F6" s="38" t="s">
        <v>147</v>
      </c>
      <c r="G6" s="38" t="s">
        <v>148</v>
      </c>
      <c r="H6" s="38" t="s">
        <v>149</v>
      </c>
      <c r="I6" s="38" t="s">
        <v>150</v>
      </c>
      <c r="J6" s="38" t="s">
        <v>151</v>
      </c>
      <c r="K6" s="38" t="s">
        <v>152</v>
      </c>
      <c r="L6" s="38" t="s">
        <v>153</v>
      </c>
      <c r="M6" s="38" t="s">
        <v>154</v>
      </c>
      <c r="N6" s="38" t="s">
        <v>155</v>
      </c>
      <c r="O6" s="38" t="s">
        <v>156</v>
      </c>
    </row>
    <row r="7" customFormat="false" ht="15" hidden="false" customHeight="false" outlineLevel="0" collapsed="false">
      <c r="B7" s="19" t="s">
        <v>252</v>
      </c>
      <c r="C7" s="20"/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  <c r="O7" s="20"/>
    </row>
    <row r="8" customFormat="false" ht="15" hidden="false" customHeight="false" outlineLevel="0" collapsed="false">
      <c r="B8" s="6" t="s">
        <v>253</v>
      </c>
      <c r="E8" s="48" t="n">
        <f aca="false">'Income Statement'!E11</f>
        <v>1137</v>
      </c>
      <c r="F8" s="48" t="n">
        <f aca="false">'Income Statement'!F11</f>
        <v>1731.2975</v>
      </c>
      <c r="G8" s="48" t="n">
        <f aca="false">'Income Statement'!G11</f>
        <v>1906.93901492537</v>
      </c>
      <c r="H8" s="48" t="n">
        <f aca="false">'Income Statement'!H11</f>
        <v>1974.08242647059</v>
      </c>
      <c r="I8" s="48" t="n">
        <f aca="false">'Income Statement'!I11</f>
        <v>2306.14886888587</v>
      </c>
      <c r="J8" s="48" t="n">
        <f aca="false">'Income Statement'!J11</f>
        <v>2686.92652539062</v>
      </c>
      <c r="K8" s="48" t="n">
        <f aca="false">'Income Statement'!K11</f>
        <v>3365.32996977539</v>
      </c>
      <c r="L8" s="48" t="n">
        <f aca="false">'Income Statement'!L11</f>
        <v>3841.94162526978</v>
      </c>
      <c r="M8" s="48" t="n">
        <f aca="false">'Income Statement'!M11</f>
        <v>4024.17985340152</v>
      </c>
      <c r="N8" s="48" t="n">
        <f aca="false">'Income Statement'!N11</f>
        <v>4088.62672473656</v>
      </c>
      <c r="O8" s="48" t="n">
        <f aca="false">'Income Statement'!O11</f>
        <v>4085.73301785497</v>
      </c>
    </row>
    <row r="9" customFormat="false" ht="15" hidden="false" customHeight="false" outlineLevel="0" collapsed="false">
      <c r="B9" s="6" t="s">
        <v>254</v>
      </c>
      <c r="F9" s="48" t="n">
        <f aca="false">'Balance Sheet'!F26</f>
        <v>39.85</v>
      </c>
      <c r="G9" s="48" t="n">
        <f aca="false">'Balance Sheet'!G26</f>
        <v>53.8760799624615</v>
      </c>
      <c r="H9" s="48" t="n">
        <f aca="false">'Balance Sheet'!H26</f>
        <v>64.6183905088303</v>
      </c>
      <c r="I9" s="48" t="n">
        <f aca="false">'Balance Sheet'!I26</f>
        <v>72.8593338280009</v>
      </c>
      <c r="J9" s="48" t="n">
        <f aca="false">'Balance Sheet'!J26</f>
        <v>87.7062541062278</v>
      </c>
      <c r="K9" s="48" t="n">
        <f aca="false">'Balance Sheet'!K26</f>
        <v>116.582849411795</v>
      </c>
      <c r="L9" s="48" t="n">
        <f aca="false">'Balance Sheet'!L26</f>
        <v>155.79072684005</v>
      </c>
      <c r="M9" s="48" t="n">
        <f aca="false">'Balance Sheet'!M26</f>
        <v>206.602043463865</v>
      </c>
      <c r="N9" s="48" t="n">
        <f aca="false">'Balance Sheet'!N26</f>
        <v>263.253160189415</v>
      </c>
      <c r="O9" s="48" t="n">
        <f aca="false">'Balance Sheet'!O26</f>
        <v>322.502453978328</v>
      </c>
    </row>
    <row r="10" customFormat="false" ht="15" hidden="false" customHeight="false" outlineLevel="0" collapsed="false">
      <c r="B10" s="6" t="s">
        <v>255</v>
      </c>
      <c r="F10" s="48" t="n">
        <f aca="false">'Income Statement'!F17</f>
        <v>-420.94425</v>
      </c>
      <c r="G10" s="48" t="n">
        <f aca="false">'Income Statement'!G17</f>
        <v>-468.04652846635</v>
      </c>
      <c r="H10" s="48" t="n">
        <f aca="false">'Income Statement'!H17</f>
        <v>-474.875015093826</v>
      </c>
      <c r="I10" s="48" t="n">
        <f aca="false">'Income Statement'!I17</f>
        <v>-557.501782264161</v>
      </c>
      <c r="J10" s="48" t="n">
        <f aca="false">'Income Statement'!J17</f>
        <v>-667.932233332306</v>
      </c>
      <c r="K10" s="48" t="n">
        <f aca="false">'Income Statement'!K17</f>
        <v>-879.708869298832</v>
      </c>
      <c r="L10" s="48" t="n">
        <f aca="false">'Income Statement'!L17</f>
        <v>-1035.47420146822</v>
      </c>
      <c r="M10" s="48" t="n">
        <f aca="false">'Income Statement'!M17</f>
        <v>-1109.39629787383</v>
      </c>
      <c r="N10" s="48" t="n">
        <f aca="false">'Income Statement'!N17</f>
        <v>-1150.65209547837</v>
      </c>
      <c r="O10" s="48" t="n">
        <f aca="false">'Income Statement'!O17</f>
        <v>-1172.6086366005</v>
      </c>
    </row>
    <row r="11" customFormat="false" ht="15" hidden="false" customHeight="false" outlineLevel="0" collapsed="false">
      <c r="B11" s="6" t="s">
        <v>256</v>
      </c>
      <c r="F11" s="50" t="n">
        <f aca="false">-('Balance Sheet'!F14-'Balance Sheet'!E14)</f>
        <v>-52.8902759384615</v>
      </c>
      <c r="G11" s="50" t="n">
        <f aca="false">-('Balance Sheet'!G14-'Balance Sheet'!F14)</f>
        <v>-16.5782328358209</v>
      </c>
      <c r="H11" s="50" t="n">
        <f aca="false">-('Balance Sheet'!H14-'Balance Sheet'!G14)</f>
        <v>-5.38970834064966</v>
      </c>
      <c r="I11" s="50" t="n">
        <f aca="false">-('Balance Sheet'!I14-'Balance Sheet'!H14)</f>
        <v>-39.9146675191816</v>
      </c>
      <c r="J11" s="50" t="n">
        <f aca="false">-('Balance Sheet'!J14-'Balance Sheet'!I14)</f>
        <v>-45.5313913043478</v>
      </c>
      <c r="K11" s="50" t="n">
        <f aca="false">-('Balance Sheet'!K14-'Balance Sheet'!J14)</f>
        <v>-75.68</v>
      </c>
      <c r="L11" s="50" t="n">
        <f aca="false">-('Balance Sheet'!L14-'Balance Sheet'!K14)</f>
        <v>-53.922</v>
      </c>
      <c r="M11" s="50" t="n">
        <f aca="false">-('Balance Sheet'!M14-'Balance Sheet'!L14)</f>
        <v>-20.812</v>
      </c>
      <c r="N11" s="50" t="n">
        <f aca="false">-('Balance Sheet'!N14-'Balance Sheet'!M14)</f>
        <v>-7.56800000000004</v>
      </c>
      <c r="O11" s="50" t="n">
        <f aca="false">-('Balance Sheet'!O14-'Balance Sheet'!N14)</f>
        <v>-0</v>
      </c>
    </row>
    <row r="12" customFormat="false" ht="15" hidden="false" customHeight="false" outlineLevel="0" collapsed="false">
      <c r="B12" s="5" t="s">
        <v>257</v>
      </c>
      <c r="F12" s="23" t="n">
        <f aca="false">SUM(F8:F11)</f>
        <v>1297.31297406154</v>
      </c>
      <c r="G12" s="23" t="n">
        <f aca="false">SUM(G8:G11)</f>
        <v>1476.19033358566</v>
      </c>
      <c r="H12" s="23" t="n">
        <f aca="false">SUM(H8:H11)</f>
        <v>1558.43609354494</v>
      </c>
      <c r="I12" s="23" t="n">
        <f aca="false">SUM(I8:I11)</f>
        <v>1781.59175293053</v>
      </c>
      <c r="J12" s="23" t="n">
        <f aca="false">SUM(J8:J11)</f>
        <v>2061.1691548602</v>
      </c>
      <c r="K12" s="23" t="n">
        <f aca="false">SUM(K8:K11)</f>
        <v>2526.52394988835</v>
      </c>
      <c r="L12" s="23" t="n">
        <f aca="false">SUM(L8:L11)</f>
        <v>2908.33615064161</v>
      </c>
      <c r="M12" s="23" t="n">
        <f aca="false">SUM(M8:M11)</f>
        <v>3100.57359899156</v>
      </c>
      <c r="N12" s="23" t="n">
        <f aca="false">SUM(N8:N11)</f>
        <v>3193.6597894476</v>
      </c>
      <c r="O12" s="23" t="n">
        <f aca="false">SUM(O8:O11)</f>
        <v>3235.6268352328</v>
      </c>
    </row>
    <row r="14" customFormat="false" ht="15" hidden="false" customHeight="false" outlineLevel="0" collapsed="false">
      <c r="B14" s="19" t="s">
        <v>258</v>
      </c>
      <c r="C14" s="20"/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</row>
    <row r="15" customFormat="false" ht="15" hidden="false" customHeight="false" outlineLevel="0" collapsed="false">
      <c r="B15" s="6" t="s">
        <v>259</v>
      </c>
      <c r="E15" s="50" t="n">
        <f aca="false">-Deck!E57</f>
        <v>-328</v>
      </c>
      <c r="F15" s="50" t="n">
        <f aca="false">-Deck!F57</f>
        <v>-652</v>
      </c>
      <c r="G15" s="50" t="n">
        <f aca="false">-Deck!G57</f>
        <v>-880</v>
      </c>
      <c r="H15" s="50" t="n">
        <f aca="false">-Deck!H57</f>
        <v>-1020</v>
      </c>
      <c r="I15" s="50" t="n">
        <f aca="false">-Deck!I57</f>
        <v>-760</v>
      </c>
      <c r="J15" s="50" t="n">
        <f aca="false">-Deck!J57</f>
        <v>-560</v>
      </c>
      <c r="K15" s="50" t="n">
        <f aca="false">-Deck!K57</f>
        <v>-520</v>
      </c>
      <c r="L15" s="50" t="n">
        <f aca="false">-Deck!L57</f>
        <v>-430</v>
      </c>
      <c r="M15" s="50" t="n">
        <f aca="false">-Deck!M57</f>
        <v>-390</v>
      </c>
      <c r="N15" s="50" t="n">
        <f aca="false">-Deck!N57</f>
        <v>-370</v>
      </c>
      <c r="O15" s="50" t="n">
        <f aca="false">-Deck!O57</f>
        <v>-370</v>
      </c>
    </row>
    <row r="16" customFormat="false" ht="15" hidden="false" customHeight="false" outlineLevel="0" collapsed="false">
      <c r="B16" s="5" t="s">
        <v>260</v>
      </c>
      <c r="F16" s="23" t="n">
        <f aca="false">F12+F15</f>
        <v>645.312974061538</v>
      </c>
      <c r="G16" s="23" t="n">
        <f aca="false">G12+G15</f>
        <v>596.190333585663</v>
      </c>
      <c r="H16" s="23" t="n">
        <f aca="false">H12+H15</f>
        <v>538.436093544943</v>
      </c>
      <c r="I16" s="23" t="n">
        <f aca="false">I12+I15</f>
        <v>1021.59175293053</v>
      </c>
      <c r="J16" s="23" t="n">
        <f aca="false">J12+J15</f>
        <v>1501.1691548602</v>
      </c>
      <c r="K16" s="23" t="n">
        <f aca="false">K12+K15</f>
        <v>2006.52394988835</v>
      </c>
      <c r="L16" s="23" t="n">
        <f aca="false">L12+L15</f>
        <v>2478.33615064161</v>
      </c>
      <c r="M16" s="23" t="n">
        <f aca="false">M12+M15</f>
        <v>2710.57359899156</v>
      </c>
      <c r="N16" s="23" t="n">
        <f aca="false">N12+N15</f>
        <v>2823.6597894476</v>
      </c>
      <c r="O16" s="23" t="n">
        <f aca="false">O12+O15</f>
        <v>2865.6268352328</v>
      </c>
    </row>
    <row r="18" customFormat="false" ht="15" hidden="false" customHeight="false" outlineLevel="0" collapsed="false">
      <c r="B18" s="19" t="s">
        <v>261</v>
      </c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</row>
    <row r="19" customFormat="false" ht="15" hidden="false" customHeight="false" outlineLevel="0" collapsed="false">
      <c r="B19" s="6" t="s">
        <v>262</v>
      </c>
      <c r="F19" s="48" t="n">
        <f aca="false">-'Income Statement'!F24</f>
        <v>-294.660975</v>
      </c>
      <c r="G19" s="48" t="n">
        <f aca="false">-'Income Statement'!G24</f>
        <v>-327.632569926445</v>
      </c>
      <c r="H19" s="48" t="n">
        <f aca="false">-'Income Statement'!H24</f>
        <v>-332.412510565678</v>
      </c>
      <c r="I19" s="48" t="n">
        <f aca="false">-'Income Statement'!I24</f>
        <v>-650.418745974855</v>
      </c>
      <c r="J19" s="48" t="n">
        <f aca="false">-'Income Statement'!J24</f>
        <v>-779.254272221024</v>
      </c>
      <c r="K19" s="48" t="n">
        <f aca="false">-'Income Statement'!K24</f>
        <v>-1026.32701418197</v>
      </c>
      <c r="L19" s="48" t="n">
        <f aca="false">-'Income Statement'!L24</f>
        <v>-1208.05323504625</v>
      </c>
      <c r="M19" s="48" t="n">
        <f aca="false">-'Income Statement'!M24</f>
        <v>-1294.2956808528</v>
      </c>
      <c r="N19" s="48" t="n">
        <f aca="false">-'Income Statement'!N24</f>
        <v>-1342.42744472476</v>
      </c>
      <c r="O19" s="48" t="n">
        <f aca="false">-'Income Statement'!O24</f>
        <v>-1368.04340936725</v>
      </c>
    </row>
    <row r="20" customFormat="false" ht="15" hidden="false" customHeight="false" outlineLevel="0" collapsed="false">
      <c r="B20" s="6" t="s">
        <v>263</v>
      </c>
      <c r="F20" s="25" t="n">
        <v>0</v>
      </c>
      <c r="G20" s="25" t="n">
        <v>0</v>
      </c>
      <c r="H20" s="25" t="n">
        <v>0</v>
      </c>
      <c r="I20" s="25" t="n">
        <v>0</v>
      </c>
      <c r="J20" s="25" t="n">
        <v>0</v>
      </c>
      <c r="K20" s="25" t="n">
        <v>0</v>
      </c>
      <c r="L20" s="25" t="n">
        <v>0</v>
      </c>
      <c r="M20" s="25" t="n">
        <v>0</v>
      </c>
      <c r="N20" s="25" t="n">
        <v>0</v>
      </c>
      <c r="O20" s="25" t="n">
        <v>0</v>
      </c>
      <c r="Q20" s="11" t="s">
        <v>264</v>
      </c>
    </row>
    <row r="21" customFormat="false" ht="15" hidden="false" customHeight="false" outlineLevel="0" collapsed="false">
      <c r="B21" s="5" t="s">
        <v>265</v>
      </c>
      <c r="F21" s="23" t="n">
        <f aca="false">F16+F19+F20</f>
        <v>350.651999061538</v>
      </c>
      <c r="G21" s="23" t="n">
        <f aca="false">G16+G19+G20</f>
        <v>268.557763659218</v>
      </c>
      <c r="H21" s="23" t="n">
        <f aca="false">H16+H19+H20</f>
        <v>206.023582979265</v>
      </c>
      <c r="I21" s="23" t="n">
        <f aca="false">I16+I19+I20</f>
        <v>371.173006955673</v>
      </c>
      <c r="J21" s="23" t="n">
        <f aca="false">J16+J19+J20</f>
        <v>721.914882639175</v>
      </c>
      <c r="K21" s="23" t="n">
        <f aca="false">K16+K19+K20</f>
        <v>980.196935706383</v>
      </c>
      <c r="L21" s="23" t="n">
        <f aca="false">L16+L19+L20</f>
        <v>1270.28291559536</v>
      </c>
      <c r="M21" s="23" t="n">
        <f aca="false">M16+M19+M20</f>
        <v>1416.27791813876</v>
      </c>
      <c r="N21" s="23" t="n">
        <f aca="false">N16+N19+N20</f>
        <v>1481.23234472284</v>
      </c>
      <c r="O21" s="23" t="n">
        <f aca="false">O16+O19+O20</f>
        <v>1497.58342586555</v>
      </c>
    </row>
    <row r="22" customFormat="false" ht="15" hidden="false" customHeight="false" outlineLevel="0" collapsed="false">
      <c r="B22" s="6" t="s">
        <v>266</v>
      </c>
      <c r="F22" s="48" t="n">
        <f aca="false">'Balance Sheet'!E13</f>
        <v>2290</v>
      </c>
      <c r="G22" s="48" t="n">
        <f aca="false">'Balance Sheet'!F13</f>
        <v>2640.65199906154</v>
      </c>
      <c r="H22" s="48" t="n">
        <f aca="false">'Balance Sheet'!G13</f>
        <v>2909.20976272076</v>
      </c>
      <c r="I22" s="48" t="n">
        <f aca="false">'Balance Sheet'!H13</f>
        <v>3115.23334570002</v>
      </c>
      <c r="J22" s="48" t="n">
        <f aca="false">'Balance Sheet'!I13</f>
        <v>3486.4063526557</v>
      </c>
      <c r="K22" s="48" t="n">
        <f aca="false">'Balance Sheet'!J13</f>
        <v>4208.32123529487</v>
      </c>
      <c r="L22" s="48" t="n">
        <f aca="false">'Balance Sheet'!K13</f>
        <v>5188.51817100126</v>
      </c>
      <c r="M22" s="48" t="n">
        <f aca="false">'Balance Sheet'!L13</f>
        <v>6458.80108659661</v>
      </c>
      <c r="N22" s="48" t="n">
        <f aca="false">'Balance Sheet'!M13</f>
        <v>7875.07900473537</v>
      </c>
      <c r="O22" s="48" t="n">
        <f aca="false">'Balance Sheet'!N13</f>
        <v>9356.31134945821</v>
      </c>
    </row>
    <row r="23" customFormat="false" ht="15" hidden="false" customHeight="false" outlineLevel="0" collapsed="false">
      <c r="B23" s="5" t="s">
        <v>267</v>
      </c>
      <c r="F23" s="23" t="n">
        <f aca="false">F22+F21</f>
        <v>2640.65199906154</v>
      </c>
      <c r="G23" s="23" t="n">
        <f aca="false">G22+G21</f>
        <v>2909.20976272076</v>
      </c>
      <c r="H23" s="23" t="n">
        <f aca="false">H22+H21</f>
        <v>3115.23334570002</v>
      </c>
      <c r="I23" s="23" t="n">
        <f aca="false">I22+I21</f>
        <v>3486.4063526557</v>
      </c>
      <c r="J23" s="23" t="n">
        <f aca="false">J22+J21</f>
        <v>4208.32123529487</v>
      </c>
      <c r="K23" s="23" t="n">
        <f aca="false">K22+K21</f>
        <v>5188.51817100126</v>
      </c>
      <c r="L23" s="23" t="n">
        <f aca="false">L22+L21</f>
        <v>6458.80108659661</v>
      </c>
      <c r="M23" s="23" t="n">
        <f aca="false">M22+M21</f>
        <v>7875.07900473537</v>
      </c>
      <c r="N23" s="23" t="n">
        <f aca="false">N22+N21</f>
        <v>9356.31134945821</v>
      </c>
      <c r="O23" s="23" t="n">
        <f aca="false">O22+O21</f>
        <v>10853.8947753238</v>
      </c>
    </row>
    <row r="25" customFormat="false" ht="15" hidden="false" customHeight="false" outlineLevel="0" collapsed="false">
      <c r="B25" s="11" t="s">
        <v>268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FBF3F"/>
    <pageSetUpPr fitToPage="false"/>
  </sheetPr>
  <dimension ref="B2:O3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6"/>
    <col collapsed="false" customWidth="true" hidden="false" outlineLevel="0" max="15" min="3" style="0" width="11.5"/>
  </cols>
  <sheetData>
    <row r="2" customFormat="false" ht="19.7" hidden="false" customHeight="false" outlineLevel="0" collapsed="false">
      <c r="B2" s="12" t="s">
        <v>269</v>
      </c>
    </row>
    <row r="3" customFormat="false" ht="15" hidden="false" customHeight="false" outlineLevel="0" collapsed="false">
      <c r="B3" s="13" t="s">
        <v>270</v>
      </c>
    </row>
    <row r="4" customFormat="false" ht="15" hidden="false" customHeight="false" outlineLevel="0" collapsed="false">
      <c r="B4" s="11" t="s">
        <v>64</v>
      </c>
    </row>
    <row r="6" customFormat="false" ht="18" hidden="false" customHeight="true" outlineLevel="0" collapsed="false">
      <c r="B6" s="37" t="s">
        <v>204</v>
      </c>
      <c r="C6" s="38" t="s">
        <v>144</v>
      </c>
      <c r="D6" s="38" t="s">
        <v>145</v>
      </c>
      <c r="E6" s="38" t="s">
        <v>146</v>
      </c>
      <c r="F6" s="38" t="s">
        <v>147</v>
      </c>
      <c r="G6" s="38" t="s">
        <v>148</v>
      </c>
      <c r="H6" s="38" t="s">
        <v>149</v>
      </c>
      <c r="I6" s="38" t="s">
        <v>150</v>
      </c>
      <c r="J6" s="38" t="s">
        <v>151</v>
      </c>
      <c r="K6" s="38" t="s">
        <v>152</v>
      </c>
      <c r="L6" s="38" t="s">
        <v>153</v>
      </c>
      <c r="M6" s="38" t="s">
        <v>154</v>
      </c>
      <c r="N6" s="38" t="s">
        <v>155</v>
      </c>
      <c r="O6" s="38" t="s">
        <v>156</v>
      </c>
    </row>
    <row r="7" customFormat="false" ht="15" hidden="false" customHeight="false" outlineLevel="0" collapsed="false">
      <c r="B7" s="6" t="s">
        <v>212</v>
      </c>
      <c r="F7" s="48" t="n">
        <f aca="false">'Income Statement'!F14</f>
        <v>1363.2975</v>
      </c>
      <c r="G7" s="48" t="n">
        <f aca="false">'Income Statement'!G14</f>
        <v>1506.27901492537</v>
      </c>
      <c r="H7" s="48" t="n">
        <f aca="false">'Income Statement'!H14</f>
        <v>1518.29832647059</v>
      </c>
      <c r="I7" s="48" t="n">
        <f aca="false">'Income Statement'!I14</f>
        <v>1785.47994038587</v>
      </c>
      <c r="J7" s="48" t="n">
        <f aca="false">'Income Statement'!J14</f>
        <v>2138.73452366813</v>
      </c>
      <c r="K7" s="48" t="n">
        <f aca="false">'Income Statement'!K14</f>
        <v>2815.78004825098</v>
      </c>
      <c r="L7" s="48" t="n">
        <f aca="false">'Income Statement'!L14</f>
        <v>3295.78994472067</v>
      </c>
      <c r="M7" s="48" t="n">
        <f aca="false">'Income Statement'!M14</f>
        <v>3491.38561611556</v>
      </c>
      <c r="N7" s="48" t="n">
        <f aca="false">'Income Statement'!N14</f>
        <v>3572.25382473848</v>
      </c>
      <c r="O7" s="48" t="n">
        <f aca="false">'Income Statement'!O14</f>
        <v>3586.19300135668</v>
      </c>
    </row>
    <row r="8" customFormat="false" ht="15" hidden="false" customHeight="false" outlineLevel="0" collapsed="false">
      <c r="B8" s="6" t="s">
        <v>271</v>
      </c>
      <c r="F8" s="50" t="n">
        <f aca="false">-MAX(0,F7)*Assumptions!$C$31</f>
        <v>-408.98925</v>
      </c>
      <c r="G8" s="50" t="n">
        <f aca="false">-MAX(0,G7)*Assumptions!$C$31</f>
        <v>-451.883704477612</v>
      </c>
      <c r="H8" s="50" t="n">
        <f aca="false">-MAX(0,H7)*Assumptions!$C$31</f>
        <v>-455.489497941176</v>
      </c>
      <c r="I8" s="50" t="n">
        <f aca="false">-MAX(0,I7)*Assumptions!$C$31</f>
        <v>-535.643982115761</v>
      </c>
      <c r="J8" s="50" t="n">
        <f aca="false">-MAX(0,J7)*Assumptions!$C$31</f>
        <v>-641.620357100437</v>
      </c>
      <c r="K8" s="50" t="n">
        <f aca="false">-MAX(0,K7)*Assumptions!$C$31</f>
        <v>-844.734014475293</v>
      </c>
      <c r="L8" s="50" t="n">
        <f aca="false">-MAX(0,L7)*Assumptions!$C$31</f>
        <v>-988.736983416201</v>
      </c>
      <c r="M8" s="50" t="n">
        <f aca="false">-MAX(0,M7)*Assumptions!$C$31</f>
        <v>-1047.41568483467</v>
      </c>
      <c r="N8" s="50" t="n">
        <f aca="false">-MAX(0,N7)*Assumptions!$C$31</f>
        <v>-1071.67614742155</v>
      </c>
      <c r="O8" s="50" t="n">
        <f aca="false">-MAX(0,O7)*Assumptions!$C$31</f>
        <v>-1075.857900407</v>
      </c>
    </row>
    <row r="9" customFormat="false" ht="15" hidden="false" customHeight="false" outlineLevel="0" collapsed="false">
      <c r="B9" s="5" t="s">
        <v>272</v>
      </c>
      <c r="F9" s="23" t="n">
        <f aca="false">F7+F8</f>
        <v>954.30825</v>
      </c>
      <c r="G9" s="23" t="n">
        <f aca="false">G7+G8</f>
        <v>1054.39531044776</v>
      </c>
      <c r="H9" s="23" t="n">
        <f aca="false">H7+H8</f>
        <v>1062.80882852941</v>
      </c>
      <c r="I9" s="23" t="n">
        <f aca="false">I7+I8</f>
        <v>1249.83595827011</v>
      </c>
      <c r="J9" s="23" t="n">
        <f aca="false">J7+J8</f>
        <v>1497.11416656769</v>
      </c>
      <c r="K9" s="23" t="n">
        <f aca="false">K7+K8</f>
        <v>1971.04603377568</v>
      </c>
      <c r="L9" s="23" t="n">
        <f aca="false">L7+L8</f>
        <v>2307.05296130447</v>
      </c>
      <c r="M9" s="23" t="n">
        <f aca="false">M7+M8</f>
        <v>2443.96993128089</v>
      </c>
      <c r="N9" s="23" t="n">
        <f aca="false">N7+N8</f>
        <v>2500.57767731694</v>
      </c>
      <c r="O9" s="23" t="n">
        <f aca="false">O7+O8</f>
        <v>2510.33510094967</v>
      </c>
    </row>
    <row r="10" customFormat="false" ht="15" hidden="false" customHeight="false" outlineLevel="0" collapsed="false">
      <c r="B10" s="6" t="s">
        <v>273</v>
      </c>
      <c r="F10" s="48" t="n">
        <f aca="false">'Balance Sheet'!F25</f>
        <v>368</v>
      </c>
      <c r="G10" s="48" t="n">
        <f aca="false">'Balance Sheet'!G25</f>
        <v>400.66</v>
      </c>
      <c r="H10" s="48" t="n">
        <f aca="false">'Balance Sheet'!H25</f>
        <v>455.7841</v>
      </c>
      <c r="I10" s="48" t="n">
        <f aca="false">'Balance Sheet'!I25</f>
        <v>520.6689285</v>
      </c>
      <c r="J10" s="48" t="n">
        <f aca="false">'Balance Sheet'!J25</f>
        <v>548.1920017225</v>
      </c>
      <c r="K10" s="48" t="n">
        <f aca="false">'Balance Sheet'!K25</f>
        <v>549.549921524413</v>
      </c>
      <c r="L10" s="48" t="n">
        <f aca="false">'Balance Sheet'!L25</f>
        <v>546.151680549105</v>
      </c>
      <c r="M10" s="48" t="n">
        <f aca="false">'Balance Sheet'!M25</f>
        <v>532.794237285958</v>
      </c>
      <c r="N10" s="48" t="n">
        <f aca="false">'Balance Sheet'!N25</f>
        <v>516.372899998073</v>
      </c>
      <c r="O10" s="48" t="n">
        <f aca="false">'Balance Sheet'!O25</f>
        <v>499.540016498294</v>
      </c>
    </row>
    <row r="11" customFormat="false" ht="15" hidden="false" customHeight="false" outlineLevel="0" collapsed="false">
      <c r="B11" s="6" t="s">
        <v>274</v>
      </c>
      <c r="F11" s="50" t="n">
        <f aca="false">-Deck!F57</f>
        <v>-652</v>
      </c>
      <c r="G11" s="50" t="n">
        <f aca="false">-Deck!G57</f>
        <v>-880</v>
      </c>
      <c r="H11" s="50" t="n">
        <f aca="false">-Deck!H57</f>
        <v>-1020</v>
      </c>
      <c r="I11" s="50" t="n">
        <f aca="false">-Deck!I57</f>
        <v>-760</v>
      </c>
      <c r="J11" s="50" t="n">
        <f aca="false">-Deck!J57</f>
        <v>-560</v>
      </c>
      <c r="K11" s="50" t="n">
        <f aca="false">-Deck!K57</f>
        <v>-520</v>
      </c>
      <c r="L11" s="50" t="n">
        <f aca="false">-Deck!L57</f>
        <v>-430</v>
      </c>
      <c r="M11" s="50" t="n">
        <f aca="false">-Deck!M57</f>
        <v>-390</v>
      </c>
      <c r="N11" s="50" t="n">
        <f aca="false">-Deck!N57</f>
        <v>-370</v>
      </c>
      <c r="O11" s="50" t="n">
        <f aca="false">-Deck!O57</f>
        <v>-370</v>
      </c>
    </row>
    <row r="12" customFormat="false" ht="15" hidden="false" customHeight="false" outlineLevel="0" collapsed="false">
      <c r="B12" s="6" t="s">
        <v>275</v>
      </c>
      <c r="F12" s="48" t="n">
        <f aca="false">'Cash Flow'!F11</f>
        <v>-52.8902759384615</v>
      </c>
      <c r="G12" s="48" t="n">
        <f aca="false">'Cash Flow'!G11</f>
        <v>-16.5782328358209</v>
      </c>
      <c r="H12" s="48" t="n">
        <f aca="false">'Cash Flow'!H11</f>
        <v>-5.38970834064966</v>
      </c>
      <c r="I12" s="48" t="n">
        <f aca="false">'Cash Flow'!I11</f>
        <v>-39.9146675191816</v>
      </c>
      <c r="J12" s="48" t="n">
        <f aca="false">'Cash Flow'!J11</f>
        <v>-45.5313913043478</v>
      </c>
      <c r="K12" s="48" t="n">
        <f aca="false">'Cash Flow'!K11</f>
        <v>-75.68</v>
      </c>
      <c r="L12" s="48" t="n">
        <f aca="false">'Cash Flow'!L11</f>
        <v>-53.922</v>
      </c>
      <c r="M12" s="48" t="n">
        <f aca="false">'Cash Flow'!M11</f>
        <v>-20.812</v>
      </c>
      <c r="N12" s="48" t="n">
        <f aca="false">'Cash Flow'!N11</f>
        <v>-7.56800000000004</v>
      </c>
      <c r="O12" s="48" t="n">
        <f aca="false">'Cash Flow'!O11</f>
        <v>-0</v>
      </c>
    </row>
    <row r="13" customFormat="false" ht="15" hidden="false" customHeight="false" outlineLevel="0" collapsed="false">
      <c r="B13" s="52" t="s">
        <v>276</v>
      </c>
      <c r="F13" s="23" t="n">
        <f aca="false">F9+F10+F11+F12</f>
        <v>617.417974061538</v>
      </c>
      <c r="G13" s="23" t="n">
        <f aca="false">G9+G10+G11+G12</f>
        <v>558.47707761194</v>
      </c>
      <c r="H13" s="23" t="n">
        <f aca="false">H9+H10+H11+H12</f>
        <v>493.203220188762</v>
      </c>
      <c r="I13" s="23" t="n">
        <f aca="false">I9+I10+I11+I12</f>
        <v>970.590219250927</v>
      </c>
      <c r="J13" s="23" t="n">
        <f aca="false">J9+J10+J11+J12</f>
        <v>1439.77477698584</v>
      </c>
      <c r="K13" s="23" t="n">
        <f aca="false">K9+K10+K11+K12</f>
        <v>1924.9159553001</v>
      </c>
      <c r="L13" s="23" t="n">
        <f aca="false">L9+L10+L11+L12</f>
        <v>2369.28264185357</v>
      </c>
      <c r="M13" s="23" t="n">
        <f aca="false">M9+M10+M11+M12</f>
        <v>2565.95216856685</v>
      </c>
      <c r="N13" s="23" t="n">
        <f aca="false">N9+N10+N11+N12</f>
        <v>2639.38257731501</v>
      </c>
      <c r="O13" s="23" t="n">
        <f aca="false">O9+O10+O11+O12</f>
        <v>2639.87511744797</v>
      </c>
    </row>
    <row r="14" customFormat="false" ht="15" hidden="false" customHeight="false" outlineLevel="0" collapsed="false">
      <c r="B14" s="42" t="s">
        <v>277</v>
      </c>
      <c r="F14" s="36" t="n">
        <v>0.5</v>
      </c>
      <c r="G14" s="36" t="n">
        <v>1.5</v>
      </c>
      <c r="H14" s="36" t="n">
        <v>2.5</v>
      </c>
      <c r="I14" s="36" t="n">
        <v>3.5</v>
      </c>
      <c r="J14" s="36" t="n">
        <v>4.5</v>
      </c>
      <c r="K14" s="36" t="n">
        <v>5.5</v>
      </c>
      <c r="L14" s="36" t="n">
        <v>6.5</v>
      </c>
      <c r="M14" s="36" t="n">
        <v>7.5</v>
      </c>
      <c r="N14" s="36" t="n">
        <v>8.5</v>
      </c>
      <c r="O14" s="36" t="n">
        <v>9.5</v>
      </c>
    </row>
    <row r="15" customFormat="false" ht="15" hidden="false" customHeight="false" outlineLevel="0" collapsed="false">
      <c r="B15" s="6" t="s">
        <v>278</v>
      </c>
      <c r="F15" s="55" t="n">
        <f aca="false">1/(1+Assumptions!$C$33)^F14</f>
        <v>0.958356165276277</v>
      </c>
      <c r="G15" s="55" t="n">
        <f aca="false">1/(1+Assumptions!$C$33)^G14</f>
        <v>0.880198903628577</v>
      </c>
      <c r="H15" s="55" t="n">
        <f aca="false">1/(1+Assumptions!$C$33)^H14</f>
        <v>0.80841563712965</v>
      </c>
      <c r="I15" s="55" t="n">
        <f aca="false">1/(1+Assumptions!$C$33)^I14</f>
        <v>0.74248654441805</v>
      </c>
      <c r="J15" s="55" t="n">
        <f aca="false">1/(1+Assumptions!$C$33)^J14</f>
        <v>0.681934197363186</v>
      </c>
      <c r="K15" s="55" t="n">
        <f aca="false">1/(1+Assumptions!$C$33)^K14</f>
        <v>0.626320103750647</v>
      </c>
      <c r="L15" s="55" t="n">
        <f aca="false">1/(1+Assumptions!$C$33)^L14</f>
        <v>0.5752415319235</v>
      </c>
      <c r="M15" s="55" t="n">
        <f aca="false">1/(1+Assumptions!$C$33)^M14</f>
        <v>0.528328594385077</v>
      </c>
      <c r="N15" s="55" t="n">
        <f aca="false">1/(1+Assumptions!$C$33)^N14</f>
        <v>0.485241569244051</v>
      </c>
      <c r="O15" s="55" t="n">
        <f aca="false">1/(1+Assumptions!$C$33)^O14</f>
        <v>0.445668440104934</v>
      </c>
    </row>
    <row r="16" customFormat="false" ht="15" hidden="false" customHeight="false" outlineLevel="0" collapsed="false">
      <c r="B16" s="6" t="s">
        <v>279</v>
      </c>
      <c r="F16" s="50" t="n">
        <f aca="false">F13*F15</f>
        <v>591.706321994264</v>
      </c>
      <c r="G16" s="50" t="n">
        <f aca="false">G13*G15</f>
        <v>491.570911415722</v>
      </c>
      <c r="H16" s="50" t="n">
        <f aca="false">H13*H15</f>
        <v>398.713195483293</v>
      </c>
      <c r="I16" s="50" t="n">
        <f aca="false">I13*I15</f>
        <v>720.650177937578</v>
      </c>
      <c r="J16" s="50" t="n">
        <f aca="false">J13*J15</f>
        <v>981.831656927598</v>
      </c>
      <c r="K16" s="50" t="n">
        <f aca="false">K13*K15</f>
        <v>1205.61356083483</v>
      </c>
      <c r="L16" s="50" t="n">
        <f aca="false">L13*L15</f>
        <v>1362.90977645961</v>
      </c>
      <c r="M16" s="50" t="n">
        <f aca="false">M13*M15</f>
        <v>1355.66590247826</v>
      </c>
      <c r="N16" s="50" t="n">
        <f aca="false">N13*N15</f>
        <v>1280.73814365174</v>
      </c>
      <c r="O16" s="50" t="n">
        <f aca="false">O13*O15</f>
        <v>1176.50902566487</v>
      </c>
    </row>
    <row r="18" customFormat="false" ht="15" hidden="false" customHeight="false" outlineLevel="0" collapsed="false">
      <c r="B18" s="19" t="s">
        <v>280</v>
      </c>
      <c r="C18" s="20"/>
      <c r="D18" s="20"/>
      <c r="E18" s="20"/>
      <c r="F18" s="20"/>
    </row>
    <row r="19" customFormat="false" ht="15" hidden="false" customHeight="false" outlineLevel="0" collapsed="false">
      <c r="B19" s="6" t="s">
        <v>281</v>
      </c>
      <c r="C19" s="50" t="n">
        <f aca="false">SUM(F16:O16)</f>
        <v>9565.90867284777</v>
      </c>
    </row>
    <row r="20" customFormat="false" ht="15" hidden="false" customHeight="false" outlineLevel="0" collapsed="false">
      <c r="B20" s="6" t="s">
        <v>282</v>
      </c>
      <c r="C20" s="30" t="n">
        <f aca="false">Assumptions!$C$36</f>
        <v>0.025</v>
      </c>
    </row>
    <row r="21" customFormat="false" ht="15" hidden="false" customHeight="false" outlineLevel="0" collapsed="false">
      <c r="B21" s="6" t="s">
        <v>283</v>
      </c>
      <c r="C21" s="50" t="n">
        <f aca="false">O13</f>
        <v>2639.87511744797</v>
      </c>
    </row>
    <row r="22" customFormat="false" ht="15" hidden="false" customHeight="false" outlineLevel="0" collapsed="false">
      <c r="B22" s="6" t="s">
        <v>284</v>
      </c>
      <c r="C22" s="56" t="n">
        <f aca="false">SUM(Deck!F34:O34)/1000/Assumptions!$C$54</f>
        <v>103.9600153787</v>
      </c>
    </row>
    <row r="23" customFormat="false" ht="15" hidden="false" customHeight="false" outlineLevel="0" collapsed="false">
      <c r="B23" s="6" t="s">
        <v>285</v>
      </c>
      <c r="C23" s="56" t="n">
        <f aca="false">MAX(0,Assumptions!$C$50-C22)</f>
        <v>230.5399846213</v>
      </c>
    </row>
    <row r="24" customFormat="false" ht="15" hidden="false" customHeight="false" outlineLevel="0" collapsed="false">
      <c r="B24" s="6" t="s">
        <v>286</v>
      </c>
      <c r="C24" s="56" t="n">
        <f aca="false">Deck!O34/1000/Assumptions!$C$54</f>
        <v>14.2802218926786</v>
      </c>
    </row>
    <row r="25" customFormat="false" ht="15" hidden="false" customHeight="false" outlineLevel="0" collapsed="false">
      <c r="B25" s="5" t="s">
        <v>287</v>
      </c>
      <c r="C25" s="57" t="n">
        <f aca="false">MIN(Assumptions!$C$55,IFERROR(C23/C24,0))</f>
        <v>16.1440057692308</v>
      </c>
      <c r="E25" s="11" t="s">
        <v>288</v>
      </c>
    </row>
    <row r="26" customFormat="false" ht="15" hidden="false" customHeight="false" outlineLevel="0" collapsed="false">
      <c r="B26" s="6" t="s">
        <v>289</v>
      </c>
      <c r="C26" s="58" t="n">
        <f aca="false">(1-(1+Assumptions!$C$33)^-C25)/Assumptions!$C$33</f>
        <v>8.40987155168557</v>
      </c>
    </row>
    <row r="27" customFormat="false" ht="15" hidden="false" customHeight="false" outlineLevel="0" collapsed="false">
      <c r="B27" s="6" t="s">
        <v>290</v>
      </c>
      <c r="C27" s="50" t="n">
        <f aca="false">C21*C26</f>
        <v>22201.0106502283</v>
      </c>
    </row>
    <row r="28" customFormat="false" ht="15" hidden="false" customHeight="false" outlineLevel="0" collapsed="false">
      <c r="B28" s="6" t="s">
        <v>291</v>
      </c>
      <c r="C28" s="50" t="n">
        <f aca="false">C27*O15</f>
        <v>9894.28978524025</v>
      </c>
    </row>
    <row r="29" customFormat="false" ht="15" hidden="false" customHeight="false" outlineLevel="0" collapsed="false">
      <c r="B29" s="5" t="s">
        <v>292</v>
      </c>
      <c r="C29" s="23" t="n">
        <f aca="false">C19+C28</f>
        <v>19460.198458088</v>
      </c>
    </row>
    <row r="30" customFormat="false" ht="15" hidden="false" customHeight="false" outlineLevel="0" collapsed="false">
      <c r="B30" s="6" t="s">
        <v>293</v>
      </c>
      <c r="C30" s="24" t="n">
        <f aca="false">C28/C29</f>
        <v>0.508437249833287</v>
      </c>
      <c r="E30" s="11" t="s">
        <v>294</v>
      </c>
    </row>
    <row r="31" customFormat="false" ht="15" hidden="false" customHeight="false" outlineLevel="0" collapsed="false">
      <c r="B31" s="6" t="s">
        <v>295</v>
      </c>
      <c r="C31" s="50" t="n">
        <f aca="false">Assumptions!$C$21</f>
        <v>1462</v>
      </c>
    </row>
    <row r="32" customFormat="false" ht="15" hidden="false" customHeight="false" outlineLevel="0" collapsed="false">
      <c r="B32" s="5" t="s">
        <v>296</v>
      </c>
      <c r="C32" s="23" t="n">
        <f aca="false">C29+C31</f>
        <v>20922.198458088</v>
      </c>
    </row>
    <row r="33" customFormat="false" ht="15" hidden="false" customHeight="false" outlineLevel="0" collapsed="false">
      <c r="B33" s="6" t="s">
        <v>75</v>
      </c>
      <c r="C33" s="40" t="n">
        <f aca="false">Assumptions!$C$12</f>
        <v>3220</v>
      </c>
    </row>
    <row r="34" customFormat="false" ht="15" hidden="false" customHeight="false" outlineLevel="0" collapsed="false">
      <c r="B34" s="5" t="s">
        <v>297</v>
      </c>
      <c r="C34" s="59" t="n">
        <f aca="false">C32/C33</f>
        <v>6.4975771608969</v>
      </c>
    </row>
    <row r="35" customFormat="false" ht="15" hidden="false" customHeight="false" outlineLevel="0" collapsed="false">
      <c r="B35" s="6" t="s">
        <v>298</v>
      </c>
      <c r="C35" s="53" t="n">
        <f aca="false">Assumptions!$C$11</f>
        <v>5.48</v>
      </c>
    </row>
    <row r="36" customFormat="false" ht="15" hidden="false" customHeight="false" outlineLevel="0" collapsed="false">
      <c r="B36" s="5" t="s">
        <v>299</v>
      </c>
      <c r="C36" s="60" t="n">
        <f aca="false">C34/C35-1</f>
        <v>0.18568926293739</v>
      </c>
    </row>
    <row r="38" customFormat="false" ht="15" hidden="false" customHeight="false" outlineLevel="0" collapsed="false">
      <c r="B38" s="11" t="s">
        <v>300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FBF3F"/>
    <pageSetUpPr fitToPage="false"/>
  </sheetPr>
  <dimension ref="B2:O10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6"/>
    <col collapsed="false" customWidth="true" hidden="false" outlineLevel="0" max="15" min="3" style="0" width="11.5"/>
  </cols>
  <sheetData>
    <row r="2" customFormat="false" ht="19.7" hidden="false" customHeight="false" outlineLevel="0" collapsed="false">
      <c r="B2" s="12" t="s">
        <v>301</v>
      </c>
    </row>
    <row r="3" customFormat="false" ht="15" hidden="false" customHeight="false" outlineLevel="0" collapsed="false">
      <c r="B3" s="13" t="s">
        <v>302</v>
      </c>
    </row>
    <row r="4" customFormat="false" ht="15" hidden="false" customHeight="false" outlineLevel="0" collapsed="false">
      <c r="B4" s="11" t="s">
        <v>64</v>
      </c>
    </row>
    <row r="6" customFormat="false" ht="18" hidden="false" customHeight="true" outlineLevel="0" collapsed="false">
      <c r="B6" s="37" t="s">
        <v>303</v>
      </c>
      <c r="C6" s="38" t="s">
        <v>144</v>
      </c>
      <c r="D6" s="38" t="s">
        <v>145</v>
      </c>
      <c r="E6" s="38" t="s">
        <v>146</v>
      </c>
      <c r="F6" s="38" t="s">
        <v>147</v>
      </c>
      <c r="G6" s="38" t="s">
        <v>148</v>
      </c>
      <c r="H6" s="38" t="s">
        <v>149</v>
      </c>
      <c r="I6" s="38" t="s">
        <v>150</v>
      </c>
      <c r="J6" s="38" t="s">
        <v>151</v>
      </c>
      <c r="K6" s="38" t="s">
        <v>152</v>
      </c>
      <c r="L6" s="38" t="s">
        <v>153</v>
      </c>
      <c r="M6" s="38" t="s">
        <v>154</v>
      </c>
      <c r="N6" s="38" t="s">
        <v>155</v>
      </c>
      <c r="O6" s="38" t="s">
        <v>156</v>
      </c>
    </row>
    <row r="7" customFormat="false" ht="15" hidden="false" customHeight="false" outlineLevel="0" collapsed="false">
      <c r="B7" s="6" t="s">
        <v>169</v>
      </c>
      <c r="F7" s="46" t="n">
        <f aca="false">Deck!F12</f>
        <v>1030</v>
      </c>
      <c r="G7" s="46" t="n">
        <f aca="false">Deck!G12</f>
        <v>1050</v>
      </c>
      <c r="H7" s="46" t="n">
        <f aca="false">Deck!H12</f>
        <v>1030</v>
      </c>
      <c r="I7" s="46" t="n">
        <f aca="false">Deck!I12</f>
        <v>990</v>
      </c>
      <c r="J7" s="46" t="n">
        <f aca="false">Deck!J12</f>
        <v>980</v>
      </c>
      <c r="K7" s="46" t="n">
        <f aca="false">Deck!K12</f>
        <v>1000</v>
      </c>
      <c r="L7" s="46" t="n">
        <f aca="false">Deck!L12</f>
        <v>1000</v>
      </c>
      <c r="M7" s="46" t="n">
        <f aca="false">Deck!M12</f>
        <v>1010</v>
      </c>
      <c r="N7" s="46" t="n">
        <f aca="false">Deck!N12</f>
        <v>1020</v>
      </c>
      <c r="O7" s="46" t="n">
        <f aca="false">Deck!O12</f>
        <v>1020</v>
      </c>
    </row>
    <row r="8" customFormat="false" ht="15" hidden="false" customHeight="false" outlineLevel="0" collapsed="false">
      <c r="B8" s="6" t="s">
        <v>304</v>
      </c>
      <c r="F8" s="48" t="n">
        <f aca="false">Deck!F38</f>
        <v>1350</v>
      </c>
      <c r="G8" s="48" t="n">
        <f aca="false">Deck!G38</f>
        <v>1150</v>
      </c>
      <c r="H8" s="48" t="n">
        <f aca="false">Deck!H38</f>
        <v>1050</v>
      </c>
      <c r="I8" s="48" t="n">
        <f aca="false">Deck!I38</f>
        <v>1050</v>
      </c>
      <c r="J8" s="48" t="n">
        <f aca="false">Deck!J38</f>
        <v>1150</v>
      </c>
      <c r="K8" s="48" t="n">
        <f aca="false">Deck!K38</f>
        <v>1250</v>
      </c>
      <c r="L8" s="48" t="n">
        <f aca="false">Deck!L38</f>
        <v>1350</v>
      </c>
      <c r="M8" s="48" t="n">
        <f aca="false">Deck!M38</f>
        <v>1450</v>
      </c>
      <c r="N8" s="48" t="n">
        <f aca="false">Deck!N38</f>
        <v>1500</v>
      </c>
      <c r="O8" s="48" t="n">
        <f aca="false">Deck!O38</f>
        <v>1550</v>
      </c>
    </row>
    <row r="9" customFormat="false" ht="15" hidden="false" customHeight="false" outlineLevel="0" collapsed="false">
      <c r="B9" s="6" t="s">
        <v>305</v>
      </c>
      <c r="F9" s="50" t="n">
        <f aca="false">F8/Deck!F42</f>
        <v>2045.45454545455</v>
      </c>
      <c r="G9" s="50" t="n">
        <f aca="false">G8/Deck!G42</f>
        <v>1716.41791044776</v>
      </c>
      <c r="H9" s="50" t="n">
        <f aca="false">H8/Deck!H42</f>
        <v>1544.11764705882</v>
      </c>
      <c r="I9" s="50" t="n">
        <f aca="false">I8/Deck!I42</f>
        <v>1521.73913043478</v>
      </c>
      <c r="J9" s="50" t="n">
        <f aca="false">J8/Deck!J42</f>
        <v>1642.85714285714</v>
      </c>
      <c r="K9" s="50" t="n">
        <f aca="false">K8/Deck!K42</f>
        <v>1785.71428571429</v>
      </c>
      <c r="L9" s="50" t="n">
        <f aca="false">L8/Deck!L42</f>
        <v>1928.57142857143</v>
      </c>
      <c r="M9" s="50" t="n">
        <f aca="false">M8/Deck!M42</f>
        <v>2071.42857142857</v>
      </c>
      <c r="N9" s="50" t="n">
        <f aca="false">N8/Deck!N42</f>
        <v>2142.85714285714</v>
      </c>
      <c r="O9" s="50" t="n">
        <f aca="false">O8/Deck!O42</f>
        <v>2214.28571428571</v>
      </c>
    </row>
    <row r="10" customFormat="false" ht="15" hidden="false" customHeight="false" outlineLevel="0" collapsed="false">
      <c r="B10" s="6" t="s">
        <v>306</v>
      </c>
      <c r="F10" s="48" t="n">
        <f aca="false">Deck!F46</f>
        <v>625</v>
      </c>
      <c r="G10" s="48" t="n">
        <f aca="false">Deck!G46</f>
        <v>645</v>
      </c>
      <c r="H10" s="48" t="n">
        <f aca="false">Deck!H46</f>
        <v>655</v>
      </c>
      <c r="I10" s="48" t="n">
        <f aca="false">Deck!I46</f>
        <v>640</v>
      </c>
      <c r="J10" s="48" t="n">
        <f aca="false">Deck!J46</f>
        <v>625</v>
      </c>
      <c r="K10" s="48" t="n">
        <f aca="false">Deck!K46</f>
        <v>615</v>
      </c>
      <c r="L10" s="48" t="n">
        <f aca="false">Deck!L46</f>
        <v>610</v>
      </c>
      <c r="M10" s="48" t="n">
        <f aca="false">Deck!M46</f>
        <v>610</v>
      </c>
      <c r="N10" s="48" t="n">
        <f aca="false">Deck!N46</f>
        <v>610</v>
      </c>
      <c r="O10" s="48" t="n">
        <f aca="false">Deck!O46</f>
        <v>610</v>
      </c>
    </row>
    <row r="11" customFormat="false" ht="15" hidden="false" customHeight="false" outlineLevel="0" collapsed="false">
      <c r="B11" s="5" t="s">
        <v>198</v>
      </c>
      <c r="F11" s="23" t="n">
        <f aca="false">F7*F9/1000*(1-'Revenue Build'!F20)</f>
        <v>1993.05</v>
      </c>
      <c r="G11" s="23" t="n">
        <f aca="false">G7*G9/1000*(1-'Revenue Build'!G20)</f>
        <v>1704.91791044776</v>
      </c>
      <c r="H11" s="23" t="n">
        <f aca="false">H7*H9/1000*(1-'Revenue Build'!H20)</f>
        <v>1504.55735294118</v>
      </c>
      <c r="I11" s="23" t="n">
        <f aca="false">I7*I9/1000*(1-'Revenue Build'!I20)</f>
        <v>1425.16956521739</v>
      </c>
      <c r="J11" s="23" t="n">
        <f aca="false">J7*J9/1000*(1-'Revenue Build'!J20)</f>
        <v>1523.06</v>
      </c>
      <c r="K11" s="23" t="n">
        <f aca="false">K7*K9/1000*(1-'Revenue Build'!K20)</f>
        <v>1689.28571428571</v>
      </c>
      <c r="L11" s="23" t="n">
        <f aca="false">L7*L9/1000*(1-'Revenue Build'!L20)</f>
        <v>1824.42857142857</v>
      </c>
      <c r="M11" s="23" t="n">
        <f aca="false">M7*M9/1000*(1-'Revenue Build'!M20)</f>
        <v>1979.16714285714</v>
      </c>
      <c r="N11" s="23" t="n">
        <f aca="false">N7*N9/1000*(1-'Revenue Build'!N20)</f>
        <v>2067.68571428571</v>
      </c>
      <c r="O11" s="23" t="n">
        <f aca="false">O7*O9/1000*(1-'Revenue Build'!O20)</f>
        <v>2136.60857142857</v>
      </c>
    </row>
    <row r="12" customFormat="false" ht="15" hidden="false" customHeight="false" outlineLevel="0" collapsed="false">
      <c r="B12" s="6" t="s">
        <v>307</v>
      </c>
      <c r="F12" s="50" t="n">
        <f aca="false">-F7*F10/1000</f>
        <v>-643.75</v>
      </c>
      <c r="G12" s="50" t="n">
        <f aca="false">-G7*G10/1000</f>
        <v>-677.25</v>
      </c>
      <c r="H12" s="50" t="n">
        <f aca="false">-H7*H10/1000</f>
        <v>-674.65</v>
      </c>
      <c r="I12" s="50" t="n">
        <f aca="false">-I7*I10/1000</f>
        <v>-633.6</v>
      </c>
      <c r="J12" s="50" t="n">
        <f aca="false">-J7*J10/1000</f>
        <v>-612.5</v>
      </c>
      <c r="K12" s="50" t="n">
        <f aca="false">-K7*K10/1000</f>
        <v>-615</v>
      </c>
      <c r="L12" s="50" t="n">
        <f aca="false">-L7*L10/1000</f>
        <v>-610</v>
      </c>
      <c r="M12" s="50" t="n">
        <f aca="false">-M7*M10/1000</f>
        <v>-616.1</v>
      </c>
      <c r="N12" s="50" t="n">
        <f aca="false">-N7*N10/1000</f>
        <v>-622.2</v>
      </c>
      <c r="O12" s="50" t="n">
        <f aca="false">-O7*O10/1000</f>
        <v>-622.2</v>
      </c>
    </row>
    <row r="13" customFormat="false" ht="15" hidden="false" customHeight="false" outlineLevel="0" collapsed="false">
      <c r="B13" s="6" t="s">
        <v>308</v>
      </c>
      <c r="F13" s="50" t="n">
        <f aca="false">-F11*Assumptions!$C$42</f>
        <v>-99.6525</v>
      </c>
      <c r="G13" s="50" t="n">
        <f aca="false">-G11*Assumptions!$C$42</f>
        <v>-85.2458955223881</v>
      </c>
      <c r="H13" s="50" t="n">
        <f aca="false">-H11*Assumptions!$C$42</f>
        <v>-75.2278676470588</v>
      </c>
      <c r="I13" s="50" t="n">
        <f aca="false">-I11*Assumptions!$C$42</f>
        <v>-71.2584782608696</v>
      </c>
      <c r="J13" s="50" t="n">
        <f aca="false">-J11*Assumptions!$C$42</f>
        <v>-76.153</v>
      </c>
      <c r="K13" s="50" t="n">
        <f aca="false">-K11*Assumptions!$C$42</f>
        <v>-84.4642857142857</v>
      </c>
      <c r="L13" s="50" t="n">
        <f aca="false">-L11*Assumptions!$C$42</f>
        <v>-91.2214285714286</v>
      </c>
      <c r="M13" s="50" t="n">
        <f aca="false">-M11*Assumptions!$C$42</f>
        <v>-98.9583571428572</v>
      </c>
      <c r="N13" s="50" t="n">
        <f aca="false">-N11*Assumptions!$C$42</f>
        <v>-103.384285714286</v>
      </c>
      <c r="O13" s="50" t="n">
        <f aca="false">-O11*Assumptions!$C$42</f>
        <v>-106.830428571429</v>
      </c>
    </row>
    <row r="14" customFormat="false" ht="15" hidden="false" customHeight="false" outlineLevel="0" collapsed="false">
      <c r="B14" s="6" t="s">
        <v>309</v>
      </c>
      <c r="F14" s="50" t="n">
        <f aca="false">-Assumptions!$C$40*(1+Assumptions!$C$41)^(0)</f>
        <v>-95</v>
      </c>
      <c r="G14" s="50" t="n">
        <f aca="false">-Assumptions!$C$40*(1+Assumptions!$C$41)^(1)</f>
        <v>-97.375</v>
      </c>
      <c r="H14" s="50" t="n">
        <f aca="false">-Assumptions!$C$40*(1+Assumptions!$C$41)^(2)</f>
        <v>-99.809375</v>
      </c>
      <c r="I14" s="50" t="n">
        <f aca="false">-Assumptions!$C$40*(1+Assumptions!$C$41)^(3)</f>
        <v>-102.304609375</v>
      </c>
      <c r="J14" s="50" t="n">
        <f aca="false">-Assumptions!$C$40*(1+Assumptions!$C$41)^(4)</f>
        <v>-104.862224609375</v>
      </c>
      <c r="K14" s="50" t="n">
        <f aca="false">-Assumptions!$C$40*(1+Assumptions!$C$41)^(5)</f>
        <v>-107.483780224609</v>
      </c>
      <c r="L14" s="50" t="n">
        <f aca="false">-Assumptions!$C$40*(1+Assumptions!$C$41)^(6)</f>
        <v>-110.170874730225</v>
      </c>
      <c r="M14" s="50" t="n">
        <f aca="false">-Assumptions!$C$40*(1+Assumptions!$C$41)^(7)</f>
        <v>-112.92514659848</v>
      </c>
      <c r="N14" s="50" t="n">
        <f aca="false">-Assumptions!$C$40*(1+Assumptions!$C$41)^(8)</f>
        <v>-115.748275263442</v>
      </c>
      <c r="O14" s="50" t="n">
        <f aca="false">-Assumptions!$C$40*(1+Assumptions!$C$41)^(9)</f>
        <v>-118.641982145028</v>
      </c>
    </row>
    <row r="15" customFormat="false" ht="15" hidden="false" customHeight="false" outlineLevel="0" collapsed="false">
      <c r="B15" s="5" t="s">
        <v>209</v>
      </c>
      <c r="F15" s="23" t="n">
        <f aca="false">SUM(F11:F14)</f>
        <v>1154.6475</v>
      </c>
      <c r="G15" s="23" t="n">
        <f aca="false">SUM(G11:G14)</f>
        <v>845.047014925373</v>
      </c>
      <c r="H15" s="23" t="n">
        <f aca="false">SUM(H11:H14)</f>
        <v>654.870110294118</v>
      </c>
      <c r="I15" s="23" t="n">
        <f aca="false">SUM(I11:I14)</f>
        <v>618.006477581522</v>
      </c>
      <c r="J15" s="23" t="n">
        <f aca="false">SUM(J11:J14)</f>
        <v>729.544775390625</v>
      </c>
      <c r="K15" s="23" t="n">
        <f aca="false">SUM(K11:K14)</f>
        <v>882.337648346819</v>
      </c>
      <c r="L15" s="23" t="n">
        <f aca="false">SUM(L11:L14)</f>
        <v>1013.03626812692</v>
      </c>
      <c r="M15" s="23" t="n">
        <f aca="false">SUM(M11:M14)</f>
        <v>1151.18363911581</v>
      </c>
      <c r="N15" s="23" t="n">
        <f aca="false">SUM(N11:N14)</f>
        <v>1226.35315330799</v>
      </c>
      <c r="O15" s="23" t="n">
        <f aca="false">SUM(O11:O14)</f>
        <v>1288.93616071211</v>
      </c>
    </row>
    <row r="16" customFormat="false" ht="15" hidden="false" customHeight="false" outlineLevel="0" collapsed="false">
      <c r="B16" s="6" t="s">
        <v>259</v>
      </c>
      <c r="F16" s="48" t="n">
        <f aca="false">Deck!F54</f>
        <v>620</v>
      </c>
      <c r="G16" s="48" t="n">
        <f aca="false">Deck!G54</f>
        <v>400</v>
      </c>
      <c r="H16" s="48" t="n">
        <f aca="false">Deck!H54</f>
        <v>340</v>
      </c>
      <c r="I16" s="48" t="n">
        <f aca="false">Deck!I54</f>
        <v>320</v>
      </c>
      <c r="J16" s="48" t="n">
        <f aca="false">Deck!J54</f>
        <v>300</v>
      </c>
      <c r="K16" s="48" t="n">
        <f aca="false">Deck!K54</f>
        <v>295</v>
      </c>
      <c r="L16" s="48" t="n">
        <f aca="false">Deck!L54</f>
        <v>290</v>
      </c>
      <c r="M16" s="48" t="n">
        <f aca="false">Deck!M54</f>
        <v>290</v>
      </c>
      <c r="N16" s="48" t="n">
        <f aca="false">Deck!N54</f>
        <v>290</v>
      </c>
      <c r="O16" s="48" t="n">
        <f aca="false">Deck!O54</f>
        <v>290</v>
      </c>
    </row>
    <row r="17" customFormat="false" ht="15" hidden="false" customHeight="false" outlineLevel="0" collapsed="false">
      <c r="B17" s="6" t="s">
        <v>310</v>
      </c>
      <c r="F17" s="50" t="n">
        <f aca="false">'Balance Sheet'!E15+F16-F18</f>
        <v>3452</v>
      </c>
      <c r="G17" s="50" t="n">
        <f aca="false">F17+G16-G18</f>
        <v>3455.02</v>
      </c>
      <c r="H17" s="50" t="n">
        <f aca="false">G17+H16-H18</f>
        <v>3397.6927</v>
      </c>
      <c r="I17" s="50" t="n">
        <f aca="false">H17+I16-I18</f>
        <v>3326.9580395</v>
      </c>
      <c r="J17" s="50" t="n">
        <f aca="false">I17+J16-J18</f>
        <v>3244.3578649575</v>
      </c>
      <c r="K17" s="50" t="n">
        <f aca="false">J17+K16-K18</f>
        <v>3166.25671048739</v>
      </c>
      <c r="L17" s="50" t="n">
        <f aca="false">K17+L16-L18</f>
        <v>3092.13718878134</v>
      </c>
      <c r="M17" s="50" t="n">
        <f aca="false">L17+M16-M18</f>
        <v>3026.54141207148</v>
      </c>
      <c r="N17" s="50" t="n">
        <f aca="false">M17+N16-N18</f>
        <v>2968.48914968326</v>
      </c>
      <c r="O17" s="50" t="n">
        <f aca="false">N17+O16-O18</f>
        <v>2917.11289746969</v>
      </c>
    </row>
    <row r="18" customFormat="false" ht="15" hidden="false" customHeight="false" outlineLevel="0" collapsed="false">
      <c r="B18" s="6" t="s">
        <v>311</v>
      </c>
      <c r="F18" s="50" t="n">
        <f aca="false">'Balance Sheet'!E15*'Balance Sheet'!F8</f>
        <v>368</v>
      </c>
      <c r="G18" s="50" t="n">
        <f aca="false">F17*'Balance Sheet'!F8</f>
        <v>396.98</v>
      </c>
      <c r="H18" s="50" t="n">
        <f aca="false">G17*'Balance Sheet'!F8</f>
        <v>397.3273</v>
      </c>
      <c r="I18" s="50" t="n">
        <f aca="false">H17*'Balance Sheet'!F8</f>
        <v>390.7346605</v>
      </c>
      <c r="J18" s="50" t="n">
        <f aca="false">I17*'Balance Sheet'!F8</f>
        <v>382.6001745425</v>
      </c>
      <c r="K18" s="50" t="n">
        <f aca="false">J17*'Balance Sheet'!F8</f>
        <v>373.101154470113</v>
      </c>
      <c r="L18" s="50" t="n">
        <f aca="false">K17*'Balance Sheet'!F8</f>
        <v>364.11952170605</v>
      </c>
      <c r="M18" s="50" t="n">
        <f aca="false">L17*'Balance Sheet'!F8</f>
        <v>355.595776709854</v>
      </c>
      <c r="N18" s="50" t="n">
        <f aca="false">M17*'Balance Sheet'!F8</f>
        <v>348.052262388221</v>
      </c>
      <c r="O18" s="50" t="n">
        <f aca="false">N17*'Balance Sheet'!F8</f>
        <v>341.376252213575</v>
      </c>
    </row>
    <row r="19" customFormat="false" ht="15" hidden="false" customHeight="false" outlineLevel="0" collapsed="false">
      <c r="B19" s="6" t="s">
        <v>212</v>
      </c>
      <c r="F19" s="50" t="n">
        <f aca="false">F15-F18</f>
        <v>786.6475</v>
      </c>
      <c r="G19" s="50" t="n">
        <f aca="false">G15-G18</f>
        <v>448.067014925373</v>
      </c>
      <c r="H19" s="50" t="n">
        <f aca="false">H15-H18</f>
        <v>257.542810294118</v>
      </c>
      <c r="I19" s="50" t="n">
        <f aca="false">I15-I18</f>
        <v>227.271817081522</v>
      </c>
      <c r="J19" s="50" t="n">
        <f aca="false">J15-J18</f>
        <v>346.944600848125</v>
      </c>
      <c r="K19" s="50" t="n">
        <f aca="false">K15-K18</f>
        <v>509.236493876707</v>
      </c>
      <c r="L19" s="50" t="n">
        <f aca="false">L15-L18</f>
        <v>648.916746420869</v>
      </c>
      <c r="M19" s="50" t="n">
        <f aca="false">M15-M18</f>
        <v>795.587862405952</v>
      </c>
      <c r="N19" s="50" t="n">
        <f aca="false">N15-N18</f>
        <v>878.300890919766</v>
      </c>
      <c r="O19" s="50" t="n">
        <f aca="false">O15-O18</f>
        <v>947.559908498539</v>
      </c>
    </row>
    <row r="20" customFormat="false" ht="15" hidden="false" customHeight="false" outlineLevel="0" collapsed="false">
      <c r="B20" s="6" t="s">
        <v>312</v>
      </c>
      <c r="F20" s="50" t="n">
        <f aca="false">F19*(1-Assumptions!$C$31)</f>
        <v>550.65325</v>
      </c>
      <c r="G20" s="50" t="n">
        <f aca="false">G19*(1-Assumptions!$C$31)</f>
        <v>313.646910447761</v>
      </c>
      <c r="H20" s="50" t="n">
        <f aca="false">H19*(1-Assumptions!$C$31)</f>
        <v>180.279967205882</v>
      </c>
      <c r="I20" s="50" t="n">
        <f aca="false">I19*(1-Assumptions!$C$31)</f>
        <v>159.090271957065</v>
      </c>
      <c r="J20" s="50" t="n">
        <f aca="false">J19*(1-Assumptions!$C$31)</f>
        <v>242.861220593687</v>
      </c>
      <c r="K20" s="50" t="n">
        <f aca="false">K19*(1-Assumptions!$C$31)</f>
        <v>356.465545713695</v>
      </c>
      <c r="L20" s="50" t="n">
        <f aca="false">L19*(1-Assumptions!$C$31)</f>
        <v>454.241722494608</v>
      </c>
      <c r="M20" s="50" t="n">
        <f aca="false">M19*(1-Assumptions!$C$31)</f>
        <v>556.911503684166</v>
      </c>
      <c r="N20" s="50" t="n">
        <f aca="false">N19*(1-Assumptions!$C$31)</f>
        <v>614.810623643836</v>
      </c>
      <c r="O20" s="50" t="n">
        <f aca="false">O19*(1-Assumptions!$C$31)</f>
        <v>663.291935948977</v>
      </c>
    </row>
    <row r="21" customFormat="false" ht="15" hidden="false" customHeight="false" outlineLevel="0" collapsed="false">
      <c r="B21" s="6" t="s">
        <v>256</v>
      </c>
      <c r="F21" s="50" t="n">
        <f aca="false">-(F11*Assumptions!$C$44-'Balance Sheet'!E14)</f>
        <v>-4.73027593846155</v>
      </c>
      <c r="G21" s="50" t="n">
        <f aca="false">-(G11*Assumptions!$C$44-F11*Assumptions!$C$44)</f>
        <v>23.0505671641791</v>
      </c>
      <c r="H21" s="50" t="n">
        <f aca="false">-(H11*Assumptions!$C$44-G11*Assumptions!$C$44)</f>
        <v>16.0288446005268</v>
      </c>
      <c r="I21" s="50" t="n">
        <f aca="false">-(I11*Assumptions!$C$44-H11*Assumptions!$C$44)</f>
        <v>6.35102301790282</v>
      </c>
      <c r="J21" s="50" t="n">
        <f aca="false">-(J11*Assumptions!$C$44-I11*Assumptions!$C$44)</f>
        <v>-7.83123478260869</v>
      </c>
      <c r="K21" s="50" t="n">
        <f aca="false">-(K11*Assumptions!$C$44-J11*Assumptions!$C$44)</f>
        <v>-13.2980571428571</v>
      </c>
      <c r="L21" s="50" t="n">
        <f aca="false">-(L11*Assumptions!$C$44-K11*Assumptions!$C$44)</f>
        <v>-10.8114285714286</v>
      </c>
      <c r="M21" s="50" t="n">
        <f aca="false">-(M11*Assumptions!$C$44-L11*Assumptions!$C$44)</f>
        <v>-12.3790857142857</v>
      </c>
      <c r="N21" s="50" t="n">
        <f aca="false">-(N11*Assumptions!$C$44-M11*Assumptions!$C$44)</f>
        <v>-7.08148571428572</v>
      </c>
      <c r="O21" s="50" t="n">
        <f aca="false">-(O11*Assumptions!$C$44-N11*Assumptions!$C$44)</f>
        <v>-5.51382857142855</v>
      </c>
    </row>
    <row r="22" customFormat="false" ht="15" hidden="false" customHeight="false" outlineLevel="0" collapsed="false">
      <c r="B22" s="52" t="s">
        <v>313</v>
      </c>
      <c r="F22" s="23" t="n">
        <f aca="false">F20+F18-F16+F21</f>
        <v>293.922974061538</v>
      </c>
      <c r="G22" s="23" t="n">
        <f aca="false">G20+G18-G16+G21</f>
        <v>333.67747761194</v>
      </c>
      <c r="H22" s="23" t="n">
        <f aca="false">H20+H18-H16+H21</f>
        <v>253.636111806409</v>
      </c>
      <c r="I22" s="23" t="n">
        <f aca="false">I20+I18-I16+I21</f>
        <v>236.175955474968</v>
      </c>
      <c r="J22" s="23" t="n">
        <f aca="false">J20+J18-J16+J21</f>
        <v>317.630160353579</v>
      </c>
      <c r="K22" s="23" t="n">
        <f aca="false">K20+K18-K16+K21</f>
        <v>421.26864304095</v>
      </c>
      <c r="L22" s="23" t="n">
        <f aca="false">L20+L18-L16+L21</f>
        <v>517.549815629229</v>
      </c>
      <c r="M22" s="23" t="n">
        <f aca="false">M20+M18-M16+M21</f>
        <v>610.128194679734</v>
      </c>
      <c r="N22" s="23" t="n">
        <f aca="false">N20+N18-N16+N21</f>
        <v>665.781400317771</v>
      </c>
      <c r="O22" s="23" t="n">
        <f aca="false">O20+O18-O16+O21</f>
        <v>709.154359591124</v>
      </c>
    </row>
    <row r="23" customFormat="false" ht="15" hidden="false" customHeight="false" outlineLevel="0" collapsed="false">
      <c r="B23" s="6" t="s">
        <v>278</v>
      </c>
      <c r="F23" s="55" t="n">
        <f aca="false">1/(1+Assumptions!$C$33)^(DCF!F14)</f>
        <v>0.958356165276277</v>
      </c>
      <c r="G23" s="55" t="n">
        <f aca="false">1/(1+Assumptions!$C$33)^(DCF!G14)</f>
        <v>0.880198903628577</v>
      </c>
      <c r="H23" s="55" t="n">
        <f aca="false">1/(1+Assumptions!$C$33)^(DCF!H14)</f>
        <v>0.80841563712965</v>
      </c>
      <c r="I23" s="55" t="n">
        <f aca="false">1/(1+Assumptions!$C$33)^(DCF!I14)</f>
        <v>0.74248654441805</v>
      </c>
      <c r="J23" s="55" t="n">
        <f aca="false">1/(1+Assumptions!$C$33)^(DCF!J14)</f>
        <v>0.681934197363186</v>
      </c>
      <c r="K23" s="55" t="n">
        <f aca="false">1/(1+Assumptions!$C$33)^(DCF!K14)</f>
        <v>0.626320103750647</v>
      </c>
      <c r="L23" s="55" t="n">
        <f aca="false">1/(1+Assumptions!$C$33)^(DCF!L14)</f>
        <v>0.5752415319235</v>
      </c>
      <c r="M23" s="55" t="n">
        <f aca="false">1/(1+Assumptions!$C$33)^(DCF!M14)</f>
        <v>0.528328594385077</v>
      </c>
      <c r="N23" s="55" t="n">
        <f aca="false">1/(1+Assumptions!$C$33)^(DCF!N14)</f>
        <v>0.485241569244051</v>
      </c>
      <c r="O23" s="55" t="n">
        <f aca="false">1/(1+Assumptions!$C$33)^(DCF!O14)</f>
        <v>0.445668440104934</v>
      </c>
    </row>
    <row r="24" customFormat="false" ht="15" hidden="false" customHeight="false" outlineLevel="0" collapsed="false">
      <c r="B24" s="6" t="s">
        <v>279</v>
      </c>
      <c r="F24" s="50" t="n">
        <f aca="false">F22*F23</f>
        <v>281.682894308215</v>
      </c>
      <c r="G24" s="50" t="n">
        <f aca="false">G22*G23</f>
        <v>293.702549959579</v>
      </c>
      <c r="H24" s="50" t="n">
        <f aca="false">H22*H23</f>
        <v>205.043398925066</v>
      </c>
      <c r="I24" s="50" t="n">
        <f aca="false">I22*I23</f>
        <v>175.35746905524</v>
      </c>
      <c r="J24" s="50" t="n">
        <f aca="false">J22*J23</f>
        <v>216.602868459058</v>
      </c>
      <c r="K24" s="50" t="n">
        <f aca="false">K22*K23</f>
        <v>263.849020216302</v>
      </c>
      <c r="L24" s="50" t="n">
        <f aca="false">L22*L23</f>
        <v>297.716148789283</v>
      </c>
      <c r="M24" s="50" t="n">
        <f aca="false">M22*M23</f>
        <v>322.348171489849</v>
      </c>
      <c r="N24" s="50" t="n">
        <f aca="false">N22*N23</f>
        <v>323.064811463697</v>
      </c>
      <c r="O24" s="50" t="n">
        <f aca="false">O22*O23</f>
        <v>316.04771723259</v>
      </c>
    </row>
    <row r="25" customFormat="false" ht="15" hidden="false" customHeight="false" outlineLevel="0" collapsed="false">
      <c r="B25" s="6" t="s">
        <v>314</v>
      </c>
      <c r="C25" s="50" t="n">
        <f aca="false">SUM(F24:O24)</f>
        <v>2695.41504989888</v>
      </c>
    </row>
    <row r="26" customFormat="false" ht="15" hidden="false" customHeight="false" outlineLevel="0" collapsed="false">
      <c r="B26" s="6" t="s">
        <v>315</v>
      </c>
      <c r="C26" s="27" t="n">
        <v>0.015</v>
      </c>
    </row>
    <row r="27" customFormat="false" ht="15" hidden="false" customHeight="false" outlineLevel="0" collapsed="false">
      <c r="B27" s="6" t="s">
        <v>284</v>
      </c>
      <c r="C27" s="56" t="n">
        <f aca="false">SUM(F7:O7)/1000/Assumptions!$C$54</f>
        <v>57.8634591091339</v>
      </c>
    </row>
    <row r="28" customFormat="false" ht="15" hidden="false" customHeight="false" outlineLevel="0" collapsed="false">
      <c r="B28" s="6" t="s">
        <v>285</v>
      </c>
      <c r="C28" s="56" t="n">
        <f aca="false">MAX(0,Assumptions!$C$50-C27)</f>
        <v>276.636540890866</v>
      </c>
    </row>
    <row r="29" customFormat="false" ht="15" hidden="false" customHeight="false" outlineLevel="0" collapsed="false">
      <c r="B29" s="6" t="s">
        <v>286</v>
      </c>
      <c r="C29" s="56" t="n">
        <f aca="false">O7/1000/Assumptions!$C$54</f>
        <v>5.82633053221289</v>
      </c>
    </row>
    <row r="30" customFormat="false" ht="15" hidden="false" customHeight="false" outlineLevel="0" collapsed="false">
      <c r="B30" s="5" t="s">
        <v>287</v>
      </c>
      <c r="C30" s="57" t="n">
        <f aca="false">MIN(Assumptions!$C$55,IFERROR(C28/C29,0))</f>
        <v>25</v>
      </c>
    </row>
    <row r="31" customFormat="false" ht="15" hidden="false" customHeight="false" outlineLevel="0" collapsed="false">
      <c r="B31" s="6" t="s">
        <v>289</v>
      </c>
      <c r="C31" s="58" t="n">
        <f aca="false">(1-(1+Assumptions!$C$33)^-C30)/Assumptions!$C$33</f>
        <v>9.9192585878665</v>
      </c>
    </row>
    <row r="32" customFormat="false" ht="15" hidden="false" customHeight="false" outlineLevel="0" collapsed="false">
      <c r="B32" s="6" t="s">
        <v>291</v>
      </c>
      <c r="C32" s="50" t="n">
        <f aca="false">O22*C31*O23</f>
        <v>3134.95903333497</v>
      </c>
    </row>
    <row r="33" customFormat="false" ht="15" hidden="false" customHeight="false" outlineLevel="0" collapsed="false">
      <c r="B33" s="6" t="s">
        <v>316</v>
      </c>
      <c r="C33" s="50" t="n">
        <f aca="false">O22*(1+C26)/(Assumptions!$C$33-C26)*O23</f>
        <v>4347.02124793114</v>
      </c>
    </row>
    <row r="34" customFormat="false" ht="15" hidden="false" customHeight="false" outlineLevel="0" collapsed="false">
      <c r="B34" s="5" t="s">
        <v>292</v>
      </c>
      <c r="C34" s="23" t="n">
        <f aca="false">C25+C32</f>
        <v>5830.37408323384</v>
      </c>
    </row>
    <row r="35" customFormat="false" ht="15" hidden="false" customHeight="false" outlineLevel="0" collapsed="false">
      <c r="B35" s="6" t="s">
        <v>317</v>
      </c>
      <c r="C35" s="50" t="n">
        <f aca="false">Assumptions!$C$21</f>
        <v>1462</v>
      </c>
    </row>
    <row r="36" customFormat="false" ht="15" hidden="false" customHeight="false" outlineLevel="0" collapsed="false">
      <c r="B36" s="5" t="s">
        <v>296</v>
      </c>
      <c r="C36" s="23" t="n">
        <f aca="false">C34+C35</f>
        <v>7292.37408323384</v>
      </c>
    </row>
    <row r="37" customFormat="false" ht="15" hidden="false" customHeight="false" outlineLevel="0" collapsed="false">
      <c r="B37" s="5" t="s">
        <v>297</v>
      </c>
      <c r="C37" s="59" t="n">
        <f aca="false">C36/Assumptions!$C$12</f>
        <v>2.26471244820927</v>
      </c>
    </row>
    <row r="38" customFormat="false" ht="15" hidden="false" customHeight="false" outlineLevel="0" collapsed="false">
      <c r="B38" s="5" t="s">
        <v>318</v>
      </c>
      <c r="C38" s="35" t="n">
        <f aca="false">C37/Assumptions!$C$11-1</f>
        <v>-0.586731305071302</v>
      </c>
    </row>
    <row r="41" customFormat="false" ht="18" hidden="false" customHeight="true" outlineLevel="0" collapsed="false">
      <c r="B41" s="37" t="s">
        <v>319</v>
      </c>
      <c r="C41" s="38" t="s">
        <v>144</v>
      </c>
      <c r="D41" s="38" t="s">
        <v>145</v>
      </c>
      <c r="E41" s="38" t="s">
        <v>146</v>
      </c>
      <c r="F41" s="38" t="s">
        <v>147</v>
      </c>
      <c r="G41" s="38" t="s">
        <v>148</v>
      </c>
      <c r="H41" s="38" t="s">
        <v>149</v>
      </c>
      <c r="I41" s="38" t="s">
        <v>150</v>
      </c>
      <c r="J41" s="38" t="s">
        <v>151</v>
      </c>
      <c r="K41" s="38" t="s">
        <v>152</v>
      </c>
      <c r="L41" s="38" t="s">
        <v>153</v>
      </c>
      <c r="M41" s="38" t="s">
        <v>154</v>
      </c>
      <c r="N41" s="38" t="s">
        <v>155</v>
      </c>
      <c r="O41" s="38" t="s">
        <v>156</v>
      </c>
    </row>
    <row r="42" customFormat="false" ht="15" hidden="false" customHeight="false" outlineLevel="0" collapsed="false">
      <c r="B42" s="6" t="s">
        <v>169</v>
      </c>
      <c r="F42" s="46" t="n">
        <f aca="false">Deck!F19</f>
        <v>1065</v>
      </c>
      <c r="G42" s="46" t="n">
        <f aca="false">Deck!G19</f>
        <v>1115</v>
      </c>
      <c r="H42" s="46" t="n">
        <f aca="false">Deck!H19</f>
        <v>1115</v>
      </c>
      <c r="I42" s="46" t="n">
        <f aca="false">Deck!I19</f>
        <v>1365</v>
      </c>
      <c r="J42" s="46" t="n">
        <f aca="false">Deck!J19</f>
        <v>1665</v>
      </c>
      <c r="K42" s="46" t="n">
        <f aca="false">Deck!K19</f>
        <v>2065</v>
      </c>
      <c r="L42" s="46" t="n">
        <f aca="false">Deck!L19</f>
        <v>2350</v>
      </c>
      <c r="M42" s="46" t="n">
        <f aca="false">Deck!M19</f>
        <v>2460</v>
      </c>
      <c r="N42" s="46" t="n">
        <f aca="false">Deck!N19</f>
        <v>2500</v>
      </c>
      <c r="O42" s="46" t="n">
        <f aca="false">Deck!O19</f>
        <v>2500</v>
      </c>
    </row>
    <row r="43" customFormat="false" ht="15" hidden="false" customHeight="false" outlineLevel="0" collapsed="false">
      <c r="B43" s="6" t="s">
        <v>304</v>
      </c>
      <c r="F43" s="48" t="n">
        <f aca="false">Deck!F39</f>
        <v>1700</v>
      </c>
      <c r="G43" s="48" t="n">
        <f aca="false">Deck!G39</f>
        <v>1780</v>
      </c>
      <c r="H43" s="48" t="n">
        <f aca="false">Deck!H39</f>
        <v>1850</v>
      </c>
      <c r="I43" s="48" t="n">
        <f aca="false">Deck!I39</f>
        <v>1800</v>
      </c>
      <c r="J43" s="48" t="n">
        <f aca="false">Deck!J39</f>
        <v>1750</v>
      </c>
      <c r="K43" s="48" t="n">
        <f aca="false">Deck!K39</f>
        <v>1750</v>
      </c>
      <c r="L43" s="48" t="n">
        <f aca="false">Deck!L39</f>
        <v>1750</v>
      </c>
      <c r="M43" s="48" t="n">
        <f aca="false">Deck!M39</f>
        <v>1750</v>
      </c>
      <c r="N43" s="48" t="n">
        <f aca="false">Deck!N39</f>
        <v>1750</v>
      </c>
      <c r="O43" s="48" t="n">
        <f aca="false">Deck!O39</f>
        <v>1750</v>
      </c>
    </row>
    <row r="44" customFormat="false" ht="15" hidden="false" customHeight="false" outlineLevel="0" collapsed="false">
      <c r="B44" s="6" t="s">
        <v>305</v>
      </c>
      <c r="F44" s="50" t="n">
        <f aca="false">F43/Deck!F42</f>
        <v>2575.75757575758</v>
      </c>
      <c r="G44" s="50" t="n">
        <f aca="false">G43/Deck!G42</f>
        <v>2656.71641791045</v>
      </c>
      <c r="H44" s="50" t="n">
        <f aca="false">H43/Deck!H42</f>
        <v>2720.58823529412</v>
      </c>
      <c r="I44" s="50" t="n">
        <f aca="false">I43/Deck!I42</f>
        <v>2608.69565217391</v>
      </c>
      <c r="J44" s="50" t="n">
        <f aca="false">J43/Deck!J42</f>
        <v>2500</v>
      </c>
      <c r="K44" s="50" t="n">
        <f aca="false">K43/Deck!K42</f>
        <v>2500</v>
      </c>
      <c r="L44" s="50" t="n">
        <f aca="false">L43/Deck!L42</f>
        <v>2500</v>
      </c>
      <c r="M44" s="50" t="n">
        <f aca="false">M43/Deck!M42</f>
        <v>2500</v>
      </c>
      <c r="N44" s="50" t="n">
        <f aca="false">N43/Deck!N42</f>
        <v>2500</v>
      </c>
      <c r="O44" s="50" t="n">
        <f aca="false">O43/Deck!O42</f>
        <v>2500</v>
      </c>
    </row>
    <row r="45" customFormat="false" ht="15" hidden="false" customHeight="false" outlineLevel="0" collapsed="false">
      <c r="B45" s="6" t="s">
        <v>306</v>
      </c>
      <c r="F45" s="48" t="n">
        <f aca="false">Deck!F47</f>
        <v>600</v>
      </c>
      <c r="G45" s="48" t="n">
        <f aca="false">Deck!G47</f>
        <v>590</v>
      </c>
      <c r="H45" s="48" t="n">
        <f aca="false">Deck!H47</f>
        <v>585</v>
      </c>
      <c r="I45" s="48" t="n">
        <f aca="false">Deck!I47</f>
        <v>580</v>
      </c>
      <c r="J45" s="48" t="n">
        <f aca="false">Deck!J47</f>
        <v>570</v>
      </c>
      <c r="K45" s="48" t="n">
        <f aca="false">Deck!K47</f>
        <v>565</v>
      </c>
      <c r="L45" s="48" t="n">
        <f aca="false">Deck!L47</f>
        <v>565</v>
      </c>
      <c r="M45" s="48" t="n">
        <f aca="false">Deck!M47</f>
        <v>565</v>
      </c>
      <c r="N45" s="48" t="n">
        <f aca="false">Deck!N47</f>
        <v>565</v>
      </c>
      <c r="O45" s="48" t="n">
        <f aca="false">Deck!O47</f>
        <v>565</v>
      </c>
    </row>
    <row r="46" customFormat="false" ht="15" hidden="false" customHeight="false" outlineLevel="0" collapsed="false">
      <c r="B46" s="5" t="s">
        <v>198</v>
      </c>
      <c r="F46" s="23" t="n">
        <f aca="false">F42*F44/1000*(1-'Revenue Build'!F20)</f>
        <v>2595.05</v>
      </c>
      <c r="G46" s="23" t="n">
        <f aca="false">G42*G44/1000*(1-'Revenue Build'!G20)</f>
        <v>2802.27791044776</v>
      </c>
      <c r="H46" s="23" t="n">
        <f aca="false">H42*H44/1000*(1-'Revenue Build'!H20)</f>
        <v>2869.64926470588</v>
      </c>
      <c r="I46" s="23" t="n">
        <f aca="false">I42*I44/1000*(1-'Revenue Build'!I20)</f>
        <v>3368.58260869565</v>
      </c>
      <c r="J46" s="23" t="n">
        <f aca="false">J42*J44/1000*(1-'Revenue Build'!J20)</f>
        <v>3937.725</v>
      </c>
      <c r="K46" s="23" t="n">
        <f aca="false">K42*K44/1000*(1-'Revenue Build'!K20)</f>
        <v>4883.725</v>
      </c>
      <c r="L46" s="23" t="n">
        <f aca="false">L42*L44/1000*(1-'Revenue Build'!L20)</f>
        <v>5557.75</v>
      </c>
      <c r="M46" s="23" t="n">
        <f aca="false">M42*M44/1000*(1-'Revenue Build'!M20)</f>
        <v>5817.9</v>
      </c>
      <c r="N46" s="23" t="n">
        <f aca="false">N42*N44/1000*(1-'Revenue Build'!N20)</f>
        <v>5912.5</v>
      </c>
      <c r="O46" s="23" t="n">
        <f aca="false">O42*O44/1000*(1-'Revenue Build'!O20)</f>
        <v>5912.5</v>
      </c>
    </row>
    <row r="47" customFormat="false" ht="15" hidden="false" customHeight="false" outlineLevel="0" collapsed="false">
      <c r="B47" s="6" t="s">
        <v>307</v>
      </c>
      <c r="F47" s="50" t="n">
        <f aca="false">-F42*F45/1000</f>
        <v>-639</v>
      </c>
      <c r="G47" s="50" t="n">
        <f aca="false">-G42*G45/1000</f>
        <v>-657.85</v>
      </c>
      <c r="H47" s="50" t="n">
        <f aca="false">-H42*H45/1000</f>
        <v>-652.275</v>
      </c>
      <c r="I47" s="50" t="n">
        <f aca="false">-I42*I45/1000</f>
        <v>-791.7</v>
      </c>
      <c r="J47" s="50" t="n">
        <f aca="false">-J42*J45/1000</f>
        <v>-949.05</v>
      </c>
      <c r="K47" s="50" t="n">
        <f aca="false">-K42*K45/1000</f>
        <v>-1166.725</v>
      </c>
      <c r="L47" s="50" t="n">
        <f aca="false">-L42*L45/1000</f>
        <v>-1327.75</v>
      </c>
      <c r="M47" s="50" t="n">
        <f aca="false">-M42*M45/1000</f>
        <v>-1389.9</v>
      </c>
      <c r="N47" s="50" t="n">
        <f aca="false">-N42*N45/1000</f>
        <v>-1412.5</v>
      </c>
      <c r="O47" s="50" t="n">
        <f aca="false">-O42*O45/1000</f>
        <v>-1412.5</v>
      </c>
    </row>
    <row r="48" customFormat="false" ht="15" hidden="false" customHeight="false" outlineLevel="0" collapsed="false">
      <c r="B48" s="6" t="s">
        <v>308</v>
      </c>
      <c r="F48" s="50" t="n">
        <f aca="false">-F46*Assumptions!$C$42</f>
        <v>-129.7525</v>
      </c>
      <c r="G48" s="50" t="n">
        <f aca="false">-G46*Assumptions!$C$42</f>
        <v>-140.113895522388</v>
      </c>
      <c r="H48" s="50" t="n">
        <f aca="false">-H46*Assumptions!$C$42</f>
        <v>-143.482463235294</v>
      </c>
      <c r="I48" s="50" t="n">
        <f aca="false">-I46*Assumptions!$C$42</f>
        <v>-168.429130434783</v>
      </c>
      <c r="J48" s="50" t="n">
        <f aca="false">-J46*Assumptions!$C$42</f>
        <v>-196.88625</v>
      </c>
      <c r="K48" s="50" t="n">
        <f aca="false">-K46*Assumptions!$C$42</f>
        <v>-244.18625</v>
      </c>
      <c r="L48" s="50" t="n">
        <f aca="false">-L46*Assumptions!$C$42</f>
        <v>-277.8875</v>
      </c>
      <c r="M48" s="50" t="n">
        <f aca="false">-M46*Assumptions!$C$42</f>
        <v>-290.895</v>
      </c>
      <c r="N48" s="50" t="n">
        <f aca="false">-N46*Assumptions!$C$42</f>
        <v>-295.625</v>
      </c>
      <c r="O48" s="50" t="n">
        <f aca="false">-O46*Assumptions!$C$42</f>
        <v>-295.625</v>
      </c>
    </row>
    <row r="49" customFormat="false" ht="15" hidden="false" customHeight="false" outlineLevel="0" collapsed="false">
      <c r="B49" s="6" t="s">
        <v>309</v>
      </c>
      <c r="F49" s="50" t="n">
        <f aca="false">-Assumptions!$C$40*(1+Assumptions!$C$41)^(0)</f>
        <v>-95</v>
      </c>
      <c r="G49" s="50" t="n">
        <f aca="false">-Assumptions!$C$40*(1+Assumptions!$C$41)^(1)</f>
        <v>-97.375</v>
      </c>
      <c r="H49" s="50" t="n">
        <f aca="false">-Assumptions!$C$40*(1+Assumptions!$C$41)^(2)</f>
        <v>-99.809375</v>
      </c>
      <c r="I49" s="50" t="n">
        <f aca="false">-Assumptions!$C$40*(1+Assumptions!$C$41)^(3)</f>
        <v>-102.304609375</v>
      </c>
      <c r="J49" s="50" t="n">
        <f aca="false">-Assumptions!$C$40*(1+Assumptions!$C$41)^(4)</f>
        <v>-104.862224609375</v>
      </c>
      <c r="K49" s="50" t="n">
        <f aca="false">-Assumptions!$C$40*(1+Assumptions!$C$41)^(5)</f>
        <v>-107.483780224609</v>
      </c>
      <c r="L49" s="50" t="n">
        <f aca="false">-Assumptions!$C$40*(1+Assumptions!$C$41)^(6)</f>
        <v>-110.170874730225</v>
      </c>
      <c r="M49" s="50" t="n">
        <f aca="false">-Assumptions!$C$40*(1+Assumptions!$C$41)^(7)</f>
        <v>-112.92514659848</v>
      </c>
      <c r="N49" s="50" t="n">
        <f aca="false">-Assumptions!$C$40*(1+Assumptions!$C$41)^(8)</f>
        <v>-115.748275263442</v>
      </c>
      <c r="O49" s="50" t="n">
        <f aca="false">-Assumptions!$C$40*(1+Assumptions!$C$41)^(9)</f>
        <v>-118.641982145028</v>
      </c>
    </row>
    <row r="50" customFormat="false" ht="15" hidden="false" customHeight="false" outlineLevel="0" collapsed="false">
      <c r="B50" s="5" t="s">
        <v>209</v>
      </c>
      <c r="F50" s="23" t="n">
        <f aca="false">SUM(F46:F49)</f>
        <v>1731.2975</v>
      </c>
      <c r="G50" s="23" t="n">
        <f aca="false">SUM(G46:G49)</f>
        <v>1906.93901492537</v>
      </c>
      <c r="H50" s="23" t="n">
        <f aca="false">SUM(H46:H49)</f>
        <v>1974.08242647059</v>
      </c>
      <c r="I50" s="23" t="n">
        <f aca="false">SUM(I46:I49)</f>
        <v>2306.14886888587</v>
      </c>
      <c r="J50" s="23" t="n">
        <f aca="false">SUM(J46:J49)</f>
        <v>2686.92652539062</v>
      </c>
      <c r="K50" s="23" t="n">
        <f aca="false">SUM(K46:K49)</f>
        <v>3365.32996977539</v>
      </c>
      <c r="L50" s="23" t="n">
        <f aca="false">SUM(L46:L49)</f>
        <v>3841.94162526978</v>
      </c>
      <c r="M50" s="23" t="n">
        <f aca="false">SUM(M46:M49)</f>
        <v>4024.17985340152</v>
      </c>
      <c r="N50" s="23" t="n">
        <f aca="false">SUM(N46:N49)</f>
        <v>4088.62672473656</v>
      </c>
      <c r="O50" s="23" t="n">
        <f aca="false">SUM(O46:O49)</f>
        <v>4085.73301785497</v>
      </c>
    </row>
    <row r="51" customFormat="false" ht="15" hidden="false" customHeight="false" outlineLevel="0" collapsed="false">
      <c r="B51" s="6" t="s">
        <v>259</v>
      </c>
      <c r="F51" s="48" t="n">
        <f aca="false">Deck!F55</f>
        <v>652</v>
      </c>
      <c r="G51" s="48" t="n">
        <f aca="false">Deck!G55</f>
        <v>880</v>
      </c>
      <c r="H51" s="48" t="n">
        <f aca="false">Deck!H55</f>
        <v>1020</v>
      </c>
      <c r="I51" s="48" t="n">
        <f aca="false">Deck!I55</f>
        <v>760</v>
      </c>
      <c r="J51" s="48" t="n">
        <f aca="false">Deck!J55</f>
        <v>560</v>
      </c>
      <c r="K51" s="48" t="n">
        <f aca="false">Deck!K55</f>
        <v>520</v>
      </c>
      <c r="L51" s="48" t="n">
        <f aca="false">Deck!L55</f>
        <v>430</v>
      </c>
      <c r="M51" s="48" t="n">
        <f aca="false">Deck!M55</f>
        <v>390</v>
      </c>
      <c r="N51" s="48" t="n">
        <f aca="false">Deck!N55</f>
        <v>370</v>
      </c>
      <c r="O51" s="48" t="n">
        <f aca="false">Deck!O55</f>
        <v>370</v>
      </c>
    </row>
    <row r="52" customFormat="false" ht="15" hidden="false" customHeight="false" outlineLevel="0" collapsed="false">
      <c r="B52" s="6" t="s">
        <v>310</v>
      </c>
      <c r="F52" s="50" t="n">
        <f aca="false">'Balance Sheet'!E15+F51-F53</f>
        <v>3484</v>
      </c>
      <c r="G52" s="50" t="n">
        <f aca="false">F52+G51-G53</f>
        <v>3963.34</v>
      </c>
      <c r="H52" s="50" t="n">
        <f aca="false">G52+H51-H53</f>
        <v>4527.5559</v>
      </c>
      <c r="I52" s="50" t="n">
        <f aca="false">H52+I51-I53</f>
        <v>4766.8869715</v>
      </c>
      <c r="J52" s="50" t="n">
        <f aca="false">I52+J51-J53</f>
        <v>4778.6949697775</v>
      </c>
      <c r="K52" s="50" t="n">
        <f aca="false">J52+K51-K53</f>
        <v>4749.14504825309</v>
      </c>
      <c r="L52" s="50" t="n">
        <f aca="false">K52+L51-L53</f>
        <v>4632.99336770398</v>
      </c>
      <c r="M52" s="50" t="n">
        <f aca="false">L52+M51-M53</f>
        <v>4490.19913041803</v>
      </c>
      <c r="N52" s="50" t="n">
        <f aca="false">M52+N51-N53</f>
        <v>4343.82623041995</v>
      </c>
      <c r="O52" s="50" t="n">
        <f aca="false">N52+O51-O53</f>
        <v>4214.28621392166</v>
      </c>
    </row>
    <row r="53" customFormat="false" ht="15" hidden="false" customHeight="false" outlineLevel="0" collapsed="false">
      <c r="B53" s="6" t="s">
        <v>311</v>
      </c>
      <c r="F53" s="50" t="n">
        <f aca="false">'Balance Sheet'!E15*'Balance Sheet'!F8</f>
        <v>368</v>
      </c>
      <c r="G53" s="50" t="n">
        <f aca="false">F52*'Balance Sheet'!F8</f>
        <v>400.66</v>
      </c>
      <c r="H53" s="50" t="n">
        <f aca="false">G52*'Balance Sheet'!F8</f>
        <v>455.7841</v>
      </c>
      <c r="I53" s="50" t="n">
        <f aca="false">H52*'Balance Sheet'!F8</f>
        <v>520.6689285</v>
      </c>
      <c r="J53" s="50" t="n">
        <f aca="false">I52*'Balance Sheet'!F8</f>
        <v>548.1920017225</v>
      </c>
      <c r="K53" s="50" t="n">
        <f aca="false">J52*'Balance Sheet'!F8</f>
        <v>549.549921524413</v>
      </c>
      <c r="L53" s="50" t="n">
        <f aca="false">K52*'Balance Sheet'!F8</f>
        <v>546.151680549105</v>
      </c>
      <c r="M53" s="50" t="n">
        <f aca="false">L52*'Balance Sheet'!F8</f>
        <v>532.794237285958</v>
      </c>
      <c r="N53" s="50" t="n">
        <f aca="false">M52*'Balance Sheet'!F8</f>
        <v>516.372899998073</v>
      </c>
      <c r="O53" s="50" t="n">
        <f aca="false">N52*'Balance Sheet'!F8</f>
        <v>499.540016498294</v>
      </c>
    </row>
    <row r="54" customFormat="false" ht="15" hidden="false" customHeight="false" outlineLevel="0" collapsed="false">
      <c r="B54" s="6" t="s">
        <v>212</v>
      </c>
      <c r="F54" s="50" t="n">
        <f aca="false">F50-F53</f>
        <v>1363.2975</v>
      </c>
      <c r="G54" s="50" t="n">
        <f aca="false">G50-G53</f>
        <v>1506.27901492537</v>
      </c>
      <c r="H54" s="50" t="n">
        <f aca="false">H50-H53</f>
        <v>1518.29832647059</v>
      </c>
      <c r="I54" s="50" t="n">
        <f aca="false">I50-I53</f>
        <v>1785.47994038587</v>
      </c>
      <c r="J54" s="50" t="n">
        <f aca="false">J50-J53</f>
        <v>2138.73452366813</v>
      </c>
      <c r="K54" s="50" t="n">
        <f aca="false">K50-K53</f>
        <v>2815.78004825098</v>
      </c>
      <c r="L54" s="50" t="n">
        <f aca="false">L50-L53</f>
        <v>3295.78994472067</v>
      </c>
      <c r="M54" s="50" t="n">
        <f aca="false">M50-M53</f>
        <v>3491.38561611556</v>
      </c>
      <c r="N54" s="50" t="n">
        <f aca="false">N50-N53</f>
        <v>3572.25382473848</v>
      </c>
      <c r="O54" s="50" t="n">
        <f aca="false">O50-O53</f>
        <v>3586.19300135668</v>
      </c>
    </row>
    <row r="55" customFormat="false" ht="15" hidden="false" customHeight="false" outlineLevel="0" collapsed="false">
      <c r="B55" s="6" t="s">
        <v>312</v>
      </c>
      <c r="F55" s="50" t="n">
        <f aca="false">F54*(1-Assumptions!$C$31)</f>
        <v>954.30825</v>
      </c>
      <c r="G55" s="50" t="n">
        <f aca="false">G54*(1-Assumptions!$C$31)</f>
        <v>1054.39531044776</v>
      </c>
      <c r="H55" s="50" t="n">
        <f aca="false">H54*(1-Assumptions!$C$31)</f>
        <v>1062.80882852941</v>
      </c>
      <c r="I55" s="50" t="n">
        <f aca="false">I54*(1-Assumptions!$C$31)</f>
        <v>1249.83595827011</v>
      </c>
      <c r="J55" s="50" t="n">
        <f aca="false">J54*(1-Assumptions!$C$31)</f>
        <v>1497.11416656769</v>
      </c>
      <c r="K55" s="50" t="n">
        <f aca="false">K54*(1-Assumptions!$C$31)</f>
        <v>1971.04603377568</v>
      </c>
      <c r="L55" s="50" t="n">
        <f aca="false">L54*(1-Assumptions!$C$31)</f>
        <v>2307.05296130447</v>
      </c>
      <c r="M55" s="50" t="n">
        <f aca="false">M54*(1-Assumptions!$C$31)</f>
        <v>2443.96993128089</v>
      </c>
      <c r="N55" s="50" t="n">
        <f aca="false">N54*(1-Assumptions!$C$31)</f>
        <v>2500.57767731694</v>
      </c>
      <c r="O55" s="50" t="n">
        <f aca="false">O54*(1-Assumptions!$C$31)</f>
        <v>2510.33510094967</v>
      </c>
    </row>
    <row r="56" customFormat="false" ht="15" hidden="false" customHeight="false" outlineLevel="0" collapsed="false">
      <c r="B56" s="6" t="s">
        <v>256</v>
      </c>
      <c r="F56" s="50" t="n">
        <f aca="false">-(F46*Assumptions!$C$44-'Balance Sheet'!E14)</f>
        <v>-52.8902759384615</v>
      </c>
      <c r="G56" s="50" t="n">
        <f aca="false">-(G46*Assumptions!$C$44-F46*Assumptions!$C$44)</f>
        <v>-16.5782328358209</v>
      </c>
      <c r="H56" s="50" t="n">
        <f aca="false">-(H46*Assumptions!$C$44-G46*Assumptions!$C$44)</f>
        <v>-5.38970834064966</v>
      </c>
      <c r="I56" s="50" t="n">
        <f aca="false">-(I46*Assumptions!$C$44-H46*Assumptions!$C$44)</f>
        <v>-39.9146675191816</v>
      </c>
      <c r="J56" s="50" t="n">
        <f aca="false">-(J46*Assumptions!$C$44-I46*Assumptions!$C$44)</f>
        <v>-45.5313913043478</v>
      </c>
      <c r="K56" s="50" t="n">
        <f aca="false">-(K46*Assumptions!$C$44-J46*Assumptions!$C$44)</f>
        <v>-75.68</v>
      </c>
      <c r="L56" s="50" t="n">
        <f aca="false">-(L46*Assumptions!$C$44-K46*Assumptions!$C$44)</f>
        <v>-53.922</v>
      </c>
      <c r="M56" s="50" t="n">
        <f aca="false">-(M46*Assumptions!$C$44-L46*Assumptions!$C$44)</f>
        <v>-20.812</v>
      </c>
      <c r="N56" s="50" t="n">
        <f aca="false">-(N46*Assumptions!$C$44-M46*Assumptions!$C$44)</f>
        <v>-7.56800000000004</v>
      </c>
      <c r="O56" s="50" t="n">
        <f aca="false">-(O46*Assumptions!$C$44-N46*Assumptions!$C$44)</f>
        <v>-0</v>
      </c>
    </row>
    <row r="57" customFormat="false" ht="15" hidden="false" customHeight="false" outlineLevel="0" collapsed="false">
      <c r="B57" s="52" t="s">
        <v>313</v>
      </c>
      <c r="F57" s="23" t="n">
        <f aca="false">F55+F53-F51+F56</f>
        <v>617.417974061538</v>
      </c>
      <c r="G57" s="23" t="n">
        <f aca="false">G55+G53-G51+G56</f>
        <v>558.47707761194</v>
      </c>
      <c r="H57" s="23" t="n">
        <f aca="false">H55+H53-H51+H56</f>
        <v>493.203220188762</v>
      </c>
      <c r="I57" s="23" t="n">
        <f aca="false">I55+I53-I51+I56</f>
        <v>970.590219250927</v>
      </c>
      <c r="J57" s="23" t="n">
        <f aca="false">J55+J53-J51+J56</f>
        <v>1439.77477698584</v>
      </c>
      <c r="K57" s="23" t="n">
        <f aca="false">K55+K53-K51+K56</f>
        <v>1924.9159553001</v>
      </c>
      <c r="L57" s="23" t="n">
        <f aca="false">L55+L53-L51+L56</f>
        <v>2369.28264185357</v>
      </c>
      <c r="M57" s="23" t="n">
        <f aca="false">M55+M53-M51+M56</f>
        <v>2565.95216856685</v>
      </c>
      <c r="N57" s="23" t="n">
        <f aca="false">N55+N53-N51+N56</f>
        <v>2639.38257731501</v>
      </c>
      <c r="O57" s="23" t="n">
        <f aca="false">O55+O53-O51+O56</f>
        <v>2639.87511744797</v>
      </c>
    </row>
    <row r="58" customFormat="false" ht="15" hidden="false" customHeight="false" outlineLevel="0" collapsed="false">
      <c r="B58" s="6" t="s">
        <v>278</v>
      </c>
      <c r="F58" s="55" t="n">
        <f aca="false">1/(1+Assumptions!$C$33)^(DCF!F14)</f>
        <v>0.958356165276277</v>
      </c>
      <c r="G58" s="55" t="n">
        <f aca="false">1/(1+Assumptions!$C$33)^(DCF!G14)</f>
        <v>0.880198903628577</v>
      </c>
      <c r="H58" s="55" t="n">
        <f aca="false">1/(1+Assumptions!$C$33)^(DCF!H14)</f>
        <v>0.80841563712965</v>
      </c>
      <c r="I58" s="55" t="n">
        <f aca="false">1/(1+Assumptions!$C$33)^(DCF!I14)</f>
        <v>0.74248654441805</v>
      </c>
      <c r="J58" s="55" t="n">
        <f aca="false">1/(1+Assumptions!$C$33)^(DCF!J14)</f>
        <v>0.681934197363186</v>
      </c>
      <c r="K58" s="55" t="n">
        <f aca="false">1/(1+Assumptions!$C$33)^(DCF!K14)</f>
        <v>0.626320103750647</v>
      </c>
      <c r="L58" s="55" t="n">
        <f aca="false">1/(1+Assumptions!$C$33)^(DCF!L14)</f>
        <v>0.5752415319235</v>
      </c>
      <c r="M58" s="55" t="n">
        <f aca="false">1/(1+Assumptions!$C$33)^(DCF!M14)</f>
        <v>0.528328594385077</v>
      </c>
      <c r="N58" s="55" t="n">
        <f aca="false">1/(1+Assumptions!$C$33)^(DCF!N14)</f>
        <v>0.485241569244051</v>
      </c>
      <c r="O58" s="55" t="n">
        <f aca="false">1/(1+Assumptions!$C$33)^(DCF!O14)</f>
        <v>0.445668440104934</v>
      </c>
    </row>
    <row r="59" customFormat="false" ht="15" hidden="false" customHeight="false" outlineLevel="0" collapsed="false">
      <c r="B59" s="6" t="s">
        <v>279</v>
      </c>
      <c r="F59" s="50" t="n">
        <f aca="false">F57*F58</f>
        <v>591.706321994264</v>
      </c>
      <c r="G59" s="50" t="n">
        <f aca="false">G57*G58</f>
        <v>491.570911415722</v>
      </c>
      <c r="H59" s="50" t="n">
        <f aca="false">H57*H58</f>
        <v>398.713195483293</v>
      </c>
      <c r="I59" s="50" t="n">
        <f aca="false">I57*I58</f>
        <v>720.650177937578</v>
      </c>
      <c r="J59" s="50" t="n">
        <f aca="false">J57*J58</f>
        <v>981.831656927598</v>
      </c>
      <c r="K59" s="50" t="n">
        <f aca="false">K57*K58</f>
        <v>1205.61356083483</v>
      </c>
      <c r="L59" s="50" t="n">
        <f aca="false">L57*L58</f>
        <v>1362.90977645961</v>
      </c>
      <c r="M59" s="50" t="n">
        <f aca="false">M57*M58</f>
        <v>1355.66590247826</v>
      </c>
      <c r="N59" s="50" t="n">
        <f aca="false">N57*N58</f>
        <v>1280.73814365174</v>
      </c>
      <c r="O59" s="50" t="n">
        <f aca="false">O57*O58</f>
        <v>1176.50902566486</v>
      </c>
    </row>
    <row r="60" customFormat="false" ht="15" hidden="false" customHeight="false" outlineLevel="0" collapsed="false">
      <c r="B60" s="6" t="s">
        <v>314</v>
      </c>
      <c r="C60" s="50" t="n">
        <f aca="false">SUM(F59:O59)</f>
        <v>9565.90867284777</v>
      </c>
    </row>
    <row r="61" customFormat="false" ht="15" hidden="false" customHeight="false" outlineLevel="0" collapsed="false">
      <c r="B61" s="6" t="s">
        <v>315</v>
      </c>
      <c r="C61" s="27" t="n">
        <v>0.025</v>
      </c>
    </row>
    <row r="62" customFormat="false" ht="15" hidden="false" customHeight="false" outlineLevel="0" collapsed="false">
      <c r="B62" s="6" t="s">
        <v>284</v>
      </c>
      <c r="C62" s="56" t="n">
        <f aca="false">SUM(F42:O42)/1000/Assumptions!$C$54</f>
        <v>103.9600153787</v>
      </c>
    </row>
    <row r="63" customFormat="false" ht="15" hidden="false" customHeight="false" outlineLevel="0" collapsed="false">
      <c r="B63" s="6" t="s">
        <v>285</v>
      </c>
      <c r="C63" s="56" t="n">
        <f aca="false">MAX(0,Assumptions!$C$50-C62)</f>
        <v>230.5399846213</v>
      </c>
    </row>
    <row r="64" customFormat="false" ht="15" hidden="false" customHeight="false" outlineLevel="0" collapsed="false">
      <c r="B64" s="6" t="s">
        <v>286</v>
      </c>
      <c r="C64" s="56" t="n">
        <f aca="false">O42/1000/Assumptions!$C$54</f>
        <v>14.2802218926786</v>
      </c>
    </row>
    <row r="65" customFormat="false" ht="15" hidden="false" customHeight="false" outlineLevel="0" collapsed="false">
      <c r="B65" s="5" t="s">
        <v>287</v>
      </c>
      <c r="C65" s="57" t="n">
        <f aca="false">MIN(Assumptions!$C$55,IFERROR(C63/C64,0))</f>
        <v>16.1440057692308</v>
      </c>
    </row>
    <row r="66" customFormat="false" ht="15" hidden="false" customHeight="false" outlineLevel="0" collapsed="false">
      <c r="B66" s="6" t="s">
        <v>289</v>
      </c>
      <c r="C66" s="58" t="n">
        <f aca="false">(1-(1+Assumptions!$C$33)^-C65)/Assumptions!$C$33</f>
        <v>8.40987155168557</v>
      </c>
    </row>
    <row r="67" customFormat="false" ht="15" hidden="false" customHeight="false" outlineLevel="0" collapsed="false">
      <c r="B67" s="6" t="s">
        <v>291</v>
      </c>
      <c r="C67" s="50" t="n">
        <f aca="false">O57*C66*O58</f>
        <v>9894.28978524025</v>
      </c>
    </row>
    <row r="68" customFormat="false" ht="15" hidden="false" customHeight="false" outlineLevel="0" collapsed="false">
      <c r="B68" s="6" t="s">
        <v>316</v>
      </c>
      <c r="C68" s="50" t="n">
        <f aca="false">O57*(1+C61)/(Assumptions!$C$33-C61)*O58</f>
        <v>18903.0762803744</v>
      </c>
    </row>
    <row r="69" customFormat="false" ht="15" hidden="false" customHeight="false" outlineLevel="0" collapsed="false">
      <c r="B69" s="5" t="s">
        <v>292</v>
      </c>
      <c r="C69" s="23" t="n">
        <f aca="false">C60+C67</f>
        <v>19460.198458088</v>
      </c>
    </row>
    <row r="70" customFormat="false" ht="15" hidden="false" customHeight="false" outlineLevel="0" collapsed="false">
      <c r="B70" s="6" t="s">
        <v>317</v>
      </c>
      <c r="C70" s="50" t="n">
        <f aca="false">Assumptions!$C$21</f>
        <v>1462</v>
      </c>
    </row>
    <row r="71" customFormat="false" ht="15" hidden="false" customHeight="false" outlineLevel="0" collapsed="false">
      <c r="B71" s="5" t="s">
        <v>296</v>
      </c>
      <c r="C71" s="23" t="n">
        <f aca="false">C69+C70</f>
        <v>20922.198458088</v>
      </c>
    </row>
    <row r="72" customFormat="false" ht="15" hidden="false" customHeight="false" outlineLevel="0" collapsed="false">
      <c r="B72" s="5" t="s">
        <v>297</v>
      </c>
      <c r="C72" s="59" t="n">
        <f aca="false">C71/Assumptions!$C$12</f>
        <v>6.4975771608969</v>
      </c>
    </row>
    <row r="73" customFormat="false" ht="15" hidden="false" customHeight="false" outlineLevel="0" collapsed="false">
      <c r="B73" s="5" t="s">
        <v>318</v>
      </c>
      <c r="C73" s="35" t="n">
        <f aca="false">C72/Assumptions!$C$11-1</f>
        <v>0.18568926293739</v>
      </c>
    </row>
    <row r="76" customFormat="false" ht="18" hidden="false" customHeight="true" outlineLevel="0" collapsed="false">
      <c r="B76" s="37" t="s">
        <v>320</v>
      </c>
      <c r="C76" s="38" t="s">
        <v>144</v>
      </c>
      <c r="D76" s="38" t="s">
        <v>145</v>
      </c>
      <c r="E76" s="38" t="s">
        <v>146</v>
      </c>
      <c r="F76" s="38" t="s">
        <v>147</v>
      </c>
      <c r="G76" s="38" t="s">
        <v>148</v>
      </c>
      <c r="H76" s="38" t="s">
        <v>149</v>
      </c>
      <c r="I76" s="38" t="s">
        <v>150</v>
      </c>
      <c r="J76" s="38" t="s">
        <v>151</v>
      </c>
      <c r="K76" s="38" t="s">
        <v>152</v>
      </c>
      <c r="L76" s="38" t="s">
        <v>153</v>
      </c>
      <c r="M76" s="38" t="s">
        <v>154</v>
      </c>
      <c r="N76" s="38" t="s">
        <v>155</v>
      </c>
      <c r="O76" s="38" t="s">
        <v>156</v>
      </c>
    </row>
    <row r="77" customFormat="false" ht="15" hidden="false" customHeight="false" outlineLevel="0" collapsed="false">
      <c r="B77" s="6" t="s">
        <v>169</v>
      </c>
      <c r="F77" s="46" t="n">
        <f aca="false">Deck!F26</f>
        <v>1100</v>
      </c>
      <c r="G77" s="46" t="n">
        <f aca="false">Deck!G26</f>
        <v>1165</v>
      </c>
      <c r="H77" s="46" t="n">
        <f aca="false">Deck!H26</f>
        <v>1295</v>
      </c>
      <c r="I77" s="46" t="n">
        <f aca="false">Deck!I26</f>
        <v>1625</v>
      </c>
      <c r="J77" s="46" t="n">
        <f aca="false">Deck!J26</f>
        <v>2135</v>
      </c>
      <c r="K77" s="46" t="n">
        <f aca="false">Deck!K26</f>
        <v>2480</v>
      </c>
      <c r="L77" s="46" t="n">
        <f aca="false">Deck!L26</f>
        <v>2625</v>
      </c>
      <c r="M77" s="46" t="n">
        <f aca="false">Deck!M26</f>
        <v>2685</v>
      </c>
      <c r="N77" s="46" t="n">
        <f aca="false">Deck!N26</f>
        <v>2685</v>
      </c>
      <c r="O77" s="46" t="n">
        <f aca="false">Deck!O26</f>
        <v>2685</v>
      </c>
    </row>
    <row r="78" customFormat="false" ht="15" hidden="false" customHeight="false" outlineLevel="0" collapsed="false">
      <c r="B78" s="6" t="s">
        <v>304</v>
      </c>
      <c r="F78" s="48" t="n">
        <f aca="false">Deck!F40</f>
        <v>2050</v>
      </c>
      <c r="G78" s="48" t="n">
        <f aca="false">Deck!G40</f>
        <v>2400</v>
      </c>
      <c r="H78" s="48" t="n">
        <f aca="false">Deck!H40</f>
        <v>2600</v>
      </c>
      <c r="I78" s="48" t="n">
        <f aca="false">Deck!I40</f>
        <v>2450</v>
      </c>
      <c r="J78" s="48" t="n">
        <f aca="false">Deck!J40</f>
        <v>2300</v>
      </c>
      <c r="K78" s="48" t="n">
        <f aca="false">Deck!K40</f>
        <v>2150</v>
      </c>
      <c r="L78" s="48" t="n">
        <f aca="false">Deck!L40</f>
        <v>2050</v>
      </c>
      <c r="M78" s="48" t="n">
        <f aca="false">Deck!M40</f>
        <v>1975</v>
      </c>
      <c r="N78" s="48" t="n">
        <f aca="false">Deck!N40</f>
        <v>1925</v>
      </c>
      <c r="O78" s="48" t="n">
        <f aca="false">Deck!O40</f>
        <v>1900</v>
      </c>
    </row>
    <row r="79" customFormat="false" ht="15" hidden="false" customHeight="false" outlineLevel="0" collapsed="false">
      <c r="B79" s="6" t="s">
        <v>305</v>
      </c>
      <c r="F79" s="50" t="n">
        <f aca="false">F78/Deck!F42</f>
        <v>3106.06060606061</v>
      </c>
      <c r="G79" s="50" t="n">
        <f aca="false">G78/Deck!G42</f>
        <v>3582.08955223881</v>
      </c>
      <c r="H79" s="50" t="n">
        <f aca="false">H78/Deck!H42</f>
        <v>3823.52941176471</v>
      </c>
      <c r="I79" s="50" t="n">
        <f aca="false">I78/Deck!I42</f>
        <v>3550.72463768116</v>
      </c>
      <c r="J79" s="50" t="n">
        <f aca="false">J78/Deck!J42</f>
        <v>3285.71428571429</v>
      </c>
      <c r="K79" s="50" t="n">
        <f aca="false">K78/Deck!K42</f>
        <v>3071.42857142857</v>
      </c>
      <c r="L79" s="50" t="n">
        <f aca="false">L78/Deck!L42</f>
        <v>2928.57142857143</v>
      </c>
      <c r="M79" s="50" t="n">
        <f aca="false">M78/Deck!M42</f>
        <v>2821.42857142857</v>
      </c>
      <c r="N79" s="50" t="n">
        <f aca="false">N78/Deck!N42</f>
        <v>2750</v>
      </c>
      <c r="O79" s="50" t="n">
        <f aca="false">O78/Deck!O42</f>
        <v>2714.28571428571</v>
      </c>
    </row>
    <row r="80" customFormat="false" ht="15" hidden="false" customHeight="false" outlineLevel="0" collapsed="false">
      <c r="B80" s="6" t="s">
        <v>306</v>
      </c>
      <c r="F80" s="48" t="n">
        <f aca="false">Deck!F48</f>
        <v>585</v>
      </c>
      <c r="G80" s="48" t="n">
        <f aca="false">Deck!G48</f>
        <v>565</v>
      </c>
      <c r="H80" s="48" t="n">
        <f aca="false">Deck!H48</f>
        <v>550</v>
      </c>
      <c r="I80" s="48" t="n">
        <f aca="false">Deck!I48</f>
        <v>540</v>
      </c>
      <c r="J80" s="48" t="n">
        <f aca="false">Deck!J48</f>
        <v>530</v>
      </c>
      <c r="K80" s="48" t="n">
        <f aca="false">Deck!K48</f>
        <v>525</v>
      </c>
      <c r="L80" s="48" t="n">
        <f aca="false">Deck!L48</f>
        <v>520</v>
      </c>
      <c r="M80" s="48" t="n">
        <f aca="false">Deck!M48</f>
        <v>520</v>
      </c>
      <c r="N80" s="48" t="n">
        <f aca="false">Deck!N48</f>
        <v>520</v>
      </c>
      <c r="O80" s="48" t="n">
        <f aca="false">Deck!O48</f>
        <v>520</v>
      </c>
    </row>
    <row r="81" customFormat="false" ht="15" hidden="false" customHeight="false" outlineLevel="0" collapsed="false">
      <c r="B81" s="5" t="s">
        <v>198</v>
      </c>
      <c r="F81" s="23" t="n">
        <f aca="false">F77*F79/1000*(1-'Revenue Build'!F20)</f>
        <v>3232.16666666667</v>
      </c>
      <c r="G81" s="23" t="n">
        <f aca="false">G77*G79/1000*(1-'Revenue Build'!G20)</f>
        <v>3947.78507462687</v>
      </c>
      <c r="H81" s="23" t="n">
        <f aca="false">H77*H79/1000*(1-'Revenue Build'!H20)</f>
        <v>4684.09117647059</v>
      </c>
      <c r="I81" s="23" t="n">
        <f aca="false">I77*I79/1000*(1-'Revenue Build'!I20)</f>
        <v>5458.35144927536</v>
      </c>
      <c r="J81" s="23" t="n">
        <f aca="false">J77*J79/1000*(1-'Revenue Build'!J20)</f>
        <v>6636.19</v>
      </c>
      <c r="K81" s="23" t="n">
        <f aca="false">K77*K79/1000*(1-'Revenue Build'!K20)</f>
        <v>7205.81714285714</v>
      </c>
      <c r="L81" s="23" t="n">
        <f aca="false">L77*L79/1000*(1-'Revenue Build'!L20)</f>
        <v>7272.375</v>
      </c>
      <c r="M81" s="23" t="n">
        <f aca="false">M77*M79/1000*(1-'Revenue Build'!M20)</f>
        <v>7166.45678571429</v>
      </c>
      <c r="N81" s="23" t="n">
        <f aca="false">N77*N79/1000*(1-'Revenue Build'!N20)</f>
        <v>6985.0275</v>
      </c>
      <c r="O81" s="23" t="n">
        <f aca="false">O77*O79/1000*(1-'Revenue Build'!O20)</f>
        <v>6894.31285714286</v>
      </c>
    </row>
    <row r="82" customFormat="false" ht="15" hidden="false" customHeight="false" outlineLevel="0" collapsed="false">
      <c r="B82" s="6" t="s">
        <v>307</v>
      </c>
      <c r="F82" s="50" t="n">
        <f aca="false">-F77*F80/1000</f>
        <v>-643.5</v>
      </c>
      <c r="G82" s="50" t="n">
        <f aca="false">-G77*G80/1000</f>
        <v>-658.225</v>
      </c>
      <c r="H82" s="50" t="n">
        <f aca="false">-H77*H80/1000</f>
        <v>-712.25</v>
      </c>
      <c r="I82" s="50" t="n">
        <f aca="false">-I77*I80/1000</f>
        <v>-877.5</v>
      </c>
      <c r="J82" s="50" t="n">
        <f aca="false">-J77*J80/1000</f>
        <v>-1131.55</v>
      </c>
      <c r="K82" s="50" t="n">
        <f aca="false">-K77*K80/1000</f>
        <v>-1302</v>
      </c>
      <c r="L82" s="50" t="n">
        <f aca="false">-L77*L80/1000</f>
        <v>-1365</v>
      </c>
      <c r="M82" s="50" t="n">
        <f aca="false">-M77*M80/1000</f>
        <v>-1396.2</v>
      </c>
      <c r="N82" s="50" t="n">
        <f aca="false">-N77*N80/1000</f>
        <v>-1396.2</v>
      </c>
      <c r="O82" s="50" t="n">
        <f aca="false">-O77*O80/1000</f>
        <v>-1396.2</v>
      </c>
    </row>
    <row r="83" customFormat="false" ht="15" hidden="false" customHeight="false" outlineLevel="0" collapsed="false">
      <c r="B83" s="6" t="s">
        <v>308</v>
      </c>
      <c r="F83" s="50" t="n">
        <f aca="false">-F81*Assumptions!$C$42</f>
        <v>-161.608333333333</v>
      </c>
      <c r="G83" s="50" t="n">
        <f aca="false">-G81*Assumptions!$C$42</f>
        <v>-197.389253731343</v>
      </c>
      <c r="H83" s="50" t="n">
        <f aca="false">-H81*Assumptions!$C$42</f>
        <v>-234.204558823529</v>
      </c>
      <c r="I83" s="50" t="n">
        <f aca="false">-I81*Assumptions!$C$42</f>
        <v>-272.917572463768</v>
      </c>
      <c r="J83" s="50" t="n">
        <f aca="false">-J81*Assumptions!$C$42</f>
        <v>-331.8095</v>
      </c>
      <c r="K83" s="50" t="n">
        <f aca="false">-K81*Assumptions!$C$42</f>
        <v>-360.290857142857</v>
      </c>
      <c r="L83" s="50" t="n">
        <f aca="false">-L81*Assumptions!$C$42</f>
        <v>-363.61875</v>
      </c>
      <c r="M83" s="50" t="n">
        <f aca="false">-M81*Assumptions!$C$42</f>
        <v>-358.322839285714</v>
      </c>
      <c r="N83" s="50" t="n">
        <f aca="false">-N81*Assumptions!$C$42</f>
        <v>-349.251375</v>
      </c>
      <c r="O83" s="50" t="n">
        <f aca="false">-O81*Assumptions!$C$42</f>
        <v>-344.715642857143</v>
      </c>
    </row>
    <row r="84" customFormat="false" ht="15" hidden="false" customHeight="false" outlineLevel="0" collapsed="false">
      <c r="B84" s="6" t="s">
        <v>309</v>
      </c>
      <c r="F84" s="50" t="n">
        <f aca="false">-Assumptions!$C$40*(1+Assumptions!$C$41)^(0)</f>
        <v>-95</v>
      </c>
      <c r="G84" s="50" t="n">
        <f aca="false">-Assumptions!$C$40*(1+Assumptions!$C$41)^(1)</f>
        <v>-97.375</v>
      </c>
      <c r="H84" s="50" t="n">
        <f aca="false">-Assumptions!$C$40*(1+Assumptions!$C$41)^(2)</f>
        <v>-99.809375</v>
      </c>
      <c r="I84" s="50" t="n">
        <f aca="false">-Assumptions!$C$40*(1+Assumptions!$C$41)^(3)</f>
        <v>-102.304609375</v>
      </c>
      <c r="J84" s="50" t="n">
        <f aca="false">-Assumptions!$C$40*(1+Assumptions!$C$41)^(4)</f>
        <v>-104.862224609375</v>
      </c>
      <c r="K84" s="50" t="n">
        <f aca="false">-Assumptions!$C$40*(1+Assumptions!$C$41)^(5)</f>
        <v>-107.483780224609</v>
      </c>
      <c r="L84" s="50" t="n">
        <f aca="false">-Assumptions!$C$40*(1+Assumptions!$C$41)^(6)</f>
        <v>-110.170874730225</v>
      </c>
      <c r="M84" s="50" t="n">
        <f aca="false">-Assumptions!$C$40*(1+Assumptions!$C$41)^(7)</f>
        <v>-112.92514659848</v>
      </c>
      <c r="N84" s="50" t="n">
        <f aca="false">-Assumptions!$C$40*(1+Assumptions!$C$41)^(8)</f>
        <v>-115.748275263442</v>
      </c>
      <c r="O84" s="50" t="n">
        <f aca="false">-Assumptions!$C$40*(1+Assumptions!$C$41)^(9)</f>
        <v>-118.641982145028</v>
      </c>
    </row>
    <row r="85" customFormat="false" ht="15" hidden="false" customHeight="false" outlineLevel="0" collapsed="false">
      <c r="B85" s="5" t="s">
        <v>209</v>
      </c>
      <c r="F85" s="23" t="n">
        <f aca="false">SUM(F81:F84)</f>
        <v>2332.05833333333</v>
      </c>
      <c r="G85" s="23" t="n">
        <f aca="false">SUM(G81:G84)</f>
        <v>2994.79582089552</v>
      </c>
      <c r="H85" s="23" t="n">
        <f aca="false">SUM(H81:H84)</f>
        <v>3637.82724264706</v>
      </c>
      <c r="I85" s="23" t="n">
        <f aca="false">SUM(I81:I84)</f>
        <v>4205.62926743659</v>
      </c>
      <c r="J85" s="23" t="n">
        <f aca="false">SUM(J81:J84)</f>
        <v>5067.96827539063</v>
      </c>
      <c r="K85" s="23" t="n">
        <f aca="false">SUM(K81:K84)</f>
        <v>5436.04250548968</v>
      </c>
      <c r="L85" s="23" t="n">
        <f aca="false">SUM(L81:L84)</f>
        <v>5433.58537526978</v>
      </c>
      <c r="M85" s="23" t="n">
        <f aca="false">SUM(M81:M84)</f>
        <v>5299.00879983009</v>
      </c>
      <c r="N85" s="23" t="n">
        <f aca="false">SUM(N81:N84)</f>
        <v>5123.82784973656</v>
      </c>
      <c r="O85" s="23" t="n">
        <f aca="false">SUM(O81:O84)</f>
        <v>5034.75523214069</v>
      </c>
    </row>
    <row r="86" customFormat="false" ht="15" hidden="false" customHeight="false" outlineLevel="0" collapsed="false">
      <c r="B86" s="6" t="s">
        <v>259</v>
      </c>
      <c r="F86" s="48" t="n">
        <f aca="false">Deck!F56</f>
        <v>685</v>
      </c>
      <c r="G86" s="48" t="n">
        <f aca="false">Deck!G56</f>
        <v>1020</v>
      </c>
      <c r="H86" s="48" t="n">
        <f aca="false">Deck!H56</f>
        <v>1130</v>
      </c>
      <c r="I86" s="48" t="n">
        <f aca="false">Deck!I56</f>
        <v>900</v>
      </c>
      <c r="J86" s="48" t="n">
        <f aca="false">Deck!J56</f>
        <v>720</v>
      </c>
      <c r="K86" s="48" t="n">
        <f aca="false">Deck!K56</f>
        <v>600</v>
      </c>
      <c r="L86" s="48" t="n">
        <f aca="false">Deck!L56</f>
        <v>480</v>
      </c>
      <c r="M86" s="48" t="n">
        <f aca="false">Deck!M56</f>
        <v>430</v>
      </c>
      <c r="N86" s="48" t="n">
        <f aca="false">Deck!N56</f>
        <v>410</v>
      </c>
      <c r="O86" s="48" t="n">
        <f aca="false">Deck!O56</f>
        <v>410</v>
      </c>
    </row>
    <row r="87" customFormat="false" ht="15" hidden="false" customHeight="false" outlineLevel="0" collapsed="false">
      <c r="B87" s="6" t="s">
        <v>310</v>
      </c>
      <c r="F87" s="50" t="n">
        <f aca="false">'Balance Sheet'!E15+F86-F88</f>
        <v>3517</v>
      </c>
      <c r="G87" s="50" t="n">
        <f aca="false">F87+G86-G88</f>
        <v>4132.545</v>
      </c>
      <c r="H87" s="50" t="n">
        <f aca="false">G87+H86-H88</f>
        <v>4787.302325</v>
      </c>
      <c r="I87" s="50" t="n">
        <f aca="false">H87+I86-I88</f>
        <v>5136.762557625</v>
      </c>
      <c r="J87" s="50" t="n">
        <f aca="false">I87+J86-J88</f>
        <v>5266.03486349813</v>
      </c>
      <c r="K87" s="50" t="n">
        <f aca="false">J87+K86-K88</f>
        <v>5260.44085419584</v>
      </c>
      <c r="L87" s="50" t="n">
        <f aca="false">K87+L86-L88</f>
        <v>5135.49015596332</v>
      </c>
      <c r="M87" s="50" t="n">
        <f aca="false">L87+M86-M88</f>
        <v>4974.90878802754</v>
      </c>
      <c r="N87" s="50" t="n">
        <f aca="false">M87+N86-N88</f>
        <v>4812.79427740437</v>
      </c>
      <c r="O87" s="50" t="n">
        <f aca="false">N87+O86-O88</f>
        <v>4669.32293550287</v>
      </c>
    </row>
    <row r="88" customFormat="false" ht="15" hidden="false" customHeight="false" outlineLevel="0" collapsed="false">
      <c r="B88" s="6" t="s">
        <v>311</v>
      </c>
      <c r="F88" s="50" t="n">
        <f aca="false">'Balance Sheet'!E15*'Balance Sheet'!F8</f>
        <v>368</v>
      </c>
      <c r="G88" s="50" t="n">
        <f aca="false">F87*'Balance Sheet'!F8</f>
        <v>404.455</v>
      </c>
      <c r="H88" s="50" t="n">
        <f aca="false">G87*'Balance Sheet'!F8</f>
        <v>475.242675</v>
      </c>
      <c r="I88" s="50" t="n">
        <f aca="false">H87*'Balance Sheet'!F8</f>
        <v>550.539767375</v>
      </c>
      <c r="J88" s="50" t="n">
        <f aca="false">I87*'Balance Sheet'!F8</f>
        <v>590.727694126875</v>
      </c>
      <c r="K88" s="50" t="n">
        <f aca="false">J87*'Balance Sheet'!F8</f>
        <v>605.594009302284</v>
      </c>
      <c r="L88" s="50" t="n">
        <f aca="false">K87*'Balance Sheet'!F8</f>
        <v>604.950698232522</v>
      </c>
      <c r="M88" s="50" t="n">
        <f aca="false">L87*'Balance Sheet'!F8</f>
        <v>590.581367935782</v>
      </c>
      <c r="N88" s="50" t="n">
        <f aca="false">M87*'Balance Sheet'!F8</f>
        <v>572.114510623167</v>
      </c>
      <c r="O88" s="50" t="n">
        <f aca="false">N87*'Balance Sheet'!F8</f>
        <v>553.471341901503</v>
      </c>
    </row>
    <row r="89" customFormat="false" ht="15" hidden="false" customHeight="false" outlineLevel="0" collapsed="false">
      <c r="B89" s="6" t="s">
        <v>212</v>
      </c>
      <c r="F89" s="50" t="n">
        <f aca="false">F85-F88</f>
        <v>1964.05833333333</v>
      </c>
      <c r="G89" s="50" t="n">
        <f aca="false">G85-G88</f>
        <v>2590.34082089552</v>
      </c>
      <c r="H89" s="50" t="n">
        <f aca="false">H85-H88</f>
        <v>3162.58456764706</v>
      </c>
      <c r="I89" s="50" t="n">
        <f aca="false">I85-I88</f>
        <v>3655.08950006159</v>
      </c>
      <c r="J89" s="50" t="n">
        <f aca="false">J85-J88</f>
        <v>4477.24058126375</v>
      </c>
      <c r="K89" s="50" t="n">
        <f aca="false">K85-K88</f>
        <v>4830.44849618739</v>
      </c>
      <c r="L89" s="50" t="n">
        <f aca="false">L85-L88</f>
        <v>4828.63467703725</v>
      </c>
      <c r="M89" s="50" t="n">
        <f aca="false">M85-M88</f>
        <v>4708.42743189431</v>
      </c>
      <c r="N89" s="50" t="n">
        <f aca="false">N85-N88</f>
        <v>4551.71333911339</v>
      </c>
      <c r="O89" s="50" t="n">
        <f aca="false">O85-O88</f>
        <v>4481.28389023918</v>
      </c>
    </row>
    <row r="90" customFormat="false" ht="15" hidden="false" customHeight="false" outlineLevel="0" collapsed="false">
      <c r="B90" s="6" t="s">
        <v>312</v>
      </c>
      <c r="F90" s="50" t="n">
        <f aca="false">F89*(1-Assumptions!$C$31)</f>
        <v>1374.84083333333</v>
      </c>
      <c r="G90" s="50" t="n">
        <f aca="false">G89*(1-Assumptions!$C$31)</f>
        <v>1813.23857462687</v>
      </c>
      <c r="H90" s="50" t="n">
        <f aca="false">H89*(1-Assumptions!$C$31)</f>
        <v>2213.80919735294</v>
      </c>
      <c r="I90" s="50" t="n">
        <f aca="false">I89*(1-Assumptions!$C$31)</f>
        <v>2558.56265004312</v>
      </c>
      <c r="J90" s="50" t="n">
        <f aca="false">J89*(1-Assumptions!$C$31)</f>
        <v>3134.06840688463</v>
      </c>
      <c r="K90" s="50" t="n">
        <f aca="false">K89*(1-Assumptions!$C$31)</f>
        <v>3381.31394733117</v>
      </c>
      <c r="L90" s="50" t="n">
        <f aca="false">L89*(1-Assumptions!$C$31)</f>
        <v>3380.04427392608</v>
      </c>
      <c r="M90" s="50" t="n">
        <f aca="false">M89*(1-Assumptions!$C$31)</f>
        <v>3295.89920232602</v>
      </c>
      <c r="N90" s="50" t="n">
        <f aca="false">N89*(1-Assumptions!$C$31)</f>
        <v>3186.19933737937</v>
      </c>
      <c r="O90" s="50" t="n">
        <f aca="false">O89*(1-Assumptions!$C$31)</f>
        <v>3136.89872316743</v>
      </c>
    </row>
    <row r="91" customFormat="false" ht="15" hidden="false" customHeight="false" outlineLevel="0" collapsed="false">
      <c r="B91" s="6" t="s">
        <v>256</v>
      </c>
      <c r="F91" s="50" t="n">
        <f aca="false">-(F81*Assumptions!$C$44-'Balance Sheet'!E14)</f>
        <v>-103.859609271795</v>
      </c>
      <c r="G91" s="50" t="n">
        <f aca="false">-(G81*Assumptions!$C$44-F81*Assumptions!$C$44)</f>
        <v>-57.2494726368159</v>
      </c>
      <c r="H91" s="50" t="n">
        <f aca="false">-(H81*Assumptions!$C$44-G81*Assumptions!$C$44)</f>
        <v>-58.9044881474978</v>
      </c>
      <c r="I91" s="50" t="n">
        <f aca="false">-(I81*Assumptions!$C$44-H81*Assumptions!$C$44)</f>
        <v>-61.9408218243819</v>
      </c>
      <c r="J91" s="50" t="n">
        <f aca="false">-(J81*Assumptions!$C$44-I81*Assumptions!$C$44)</f>
        <v>-94.227084057971</v>
      </c>
      <c r="K91" s="50" t="n">
        <f aca="false">-(K81*Assumptions!$C$44-J81*Assumptions!$C$44)</f>
        <v>-45.5701714285715</v>
      </c>
      <c r="L91" s="50" t="n">
        <f aca="false">-(L81*Assumptions!$C$44-K81*Assumptions!$C$44)</f>
        <v>-5.32462857142866</v>
      </c>
      <c r="M91" s="50" t="n">
        <f aca="false">-(M81*Assumptions!$C$44-L81*Assumptions!$C$44)</f>
        <v>8.47345714285723</v>
      </c>
      <c r="N91" s="50" t="n">
        <f aca="false">-(N81*Assumptions!$C$44-M81*Assumptions!$C$44)</f>
        <v>14.5143428571429</v>
      </c>
      <c r="O91" s="50" t="n">
        <f aca="false">-(O81*Assumptions!$C$44-N81*Assumptions!$C$44)</f>
        <v>7.25717142857138</v>
      </c>
    </row>
    <row r="92" customFormat="false" ht="15" hidden="false" customHeight="false" outlineLevel="0" collapsed="false">
      <c r="B92" s="52" t="s">
        <v>313</v>
      </c>
      <c r="F92" s="23" t="n">
        <f aca="false">F90+F88-F86+F91</f>
        <v>953.981224061538</v>
      </c>
      <c r="G92" s="23" t="n">
        <f aca="false">G90+G88-G86+G91</f>
        <v>1140.44410199005</v>
      </c>
      <c r="H92" s="23" t="n">
        <f aca="false">H90+H88-H86+H91</f>
        <v>1500.14738420544</v>
      </c>
      <c r="I92" s="23" t="n">
        <f aca="false">I90+I88-I86+I91</f>
        <v>2147.16159559373</v>
      </c>
      <c r="J92" s="23" t="n">
        <f aca="false">J90+J88-J86+J91</f>
        <v>2910.56901695353</v>
      </c>
      <c r="K92" s="23" t="n">
        <f aca="false">K90+K88-K86+K91</f>
        <v>3341.33778520489</v>
      </c>
      <c r="L92" s="23" t="n">
        <f aca="false">L90+L88-L86+L91</f>
        <v>3499.67034358717</v>
      </c>
      <c r="M92" s="23" t="n">
        <f aca="false">M90+M88-M86+M91</f>
        <v>3464.95402740466</v>
      </c>
      <c r="N92" s="23" t="n">
        <f aca="false">N90+N88-N86+N91</f>
        <v>3362.82819085968</v>
      </c>
      <c r="O92" s="23" t="n">
        <f aca="false">O90+O88-O86+O91</f>
        <v>3287.6272364975</v>
      </c>
    </row>
    <row r="93" customFormat="false" ht="15" hidden="false" customHeight="false" outlineLevel="0" collapsed="false">
      <c r="B93" s="6" t="s">
        <v>278</v>
      </c>
      <c r="F93" s="55" t="n">
        <f aca="false">1/(1+Assumptions!$C$33)^(DCF!F14)</f>
        <v>0.958356165276277</v>
      </c>
      <c r="G93" s="55" t="n">
        <f aca="false">1/(1+Assumptions!$C$33)^(DCF!G14)</f>
        <v>0.880198903628577</v>
      </c>
      <c r="H93" s="55" t="n">
        <f aca="false">1/(1+Assumptions!$C$33)^(DCF!H14)</f>
        <v>0.80841563712965</v>
      </c>
      <c r="I93" s="55" t="n">
        <f aca="false">1/(1+Assumptions!$C$33)^(DCF!I14)</f>
        <v>0.74248654441805</v>
      </c>
      <c r="J93" s="55" t="n">
        <f aca="false">1/(1+Assumptions!$C$33)^(DCF!J14)</f>
        <v>0.681934197363186</v>
      </c>
      <c r="K93" s="55" t="n">
        <f aca="false">1/(1+Assumptions!$C$33)^(DCF!K14)</f>
        <v>0.626320103750647</v>
      </c>
      <c r="L93" s="55" t="n">
        <f aca="false">1/(1+Assumptions!$C$33)^(DCF!L14)</f>
        <v>0.5752415319235</v>
      </c>
      <c r="M93" s="55" t="n">
        <f aca="false">1/(1+Assumptions!$C$33)^(DCF!M14)</f>
        <v>0.528328594385077</v>
      </c>
      <c r="N93" s="55" t="n">
        <f aca="false">1/(1+Assumptions!$C$33)^(DCF!N14)</f>
        <v>0.485241569244051</v>
      </c>
      <c r="O93" s="55" t="n">
        <f aca="false">1/(1+Assumptions!$C$33)^(DCF!O14)</f>
        <v>0.445668440104934</v>
      </c>
    </row>
    <row r="94" customFormat="false" ht="15" hidden="false" customHeight="false" outlineLevel="0" collapsed="false">
      <c r="B94" s="6" t="s">
        <v>279</v>
      </c>
      <c r="F94" s="50" t="n">
        <f aca="false">F92*F93</f>
        <v>914.253787637185</v>
      </c>
      <c r="G94" s="50" t="n">
        <f aca="false">G92*G93</f>
        <v>1003.81764822132</v>
      </c>
      <c r="H94" s="50" t="n">
        <f aca="false">H92*H93</f>
        <v>1212.74260339082</v>
      </c>
      <c r="I94" s="50" t="n">
        <f aca="false">I92*I93</f>
        <v>1594.23859341954</v>
      </c>
      <c r="J94" s="50" t="n">
        <f aca="false">J92*J93</f>
        <v>1984.81654644636</v>
      </c>
      <c r="K94" s="50" t="n">
        <f aca="false">K92*K93</f>
        <v>2092.74702829548</v>
      </c>
      <c r="L94" s="50" t="n">
        <f aca="false">L92*L93</f>
        <v>2013.15572967232</v>
      </c>
      <c r="M94" s="50" t="n">
        <f aca="false">M92*M93</f>
        <v>1830.63429090761</v>
      </c>
      <c r="N94" s="50" t="n">
        <f aca="false">N92*N93</f>
        <v>1631.78402843089</v>
      </c>
      <c r="O94" s="50" t="n">
        <f aca="false">O92*O93</f>
        <v>1465.19170213634</v>
      </c>
    </row>
    <row r="95" customFormat="false" ht="15" hidden="false" customHeight="false" outlineLevel="0" collapsed="false">
      <c r="B95" s="6" t="s">
        <v>314</v>
      </c>
      <c r="C95" s="50" t="n">
        <f aca="false">SUM(F94:O94)</f>
        <v>15743.3819585579</v>
      </c>
    </row>
    <row r="96" customFormat="false" ht="15" hidden="false" customHeight="false" outlineLevel="0" collapsed="false">
      <c r="B96" s="6" t="s">
        <v>315</v>
      </c>
      <c r="C96" s="27" t="n">
        <v>0.03</v>
      </c>
    </row>
    <row r="97" customFormat="false" ht="15" hidden="false" customHeight="false" outlineLevel="0" collapsed="false">
      <c r="B97" s="6" t="s">
        <v>284</v>
      </c>
      <c r="C97" s="56" t="n">
        <f aca="false">SUM(F77:O77)/1000/Assumptions!$C$54</f>
        <v>116.983577744823</v>
      </c>
    </row>
    <row r="98" customFormat="false" ht="15" hidden="false" customHeight="false" outlineLevel="0" collapsed="false">
      <c r="B98" s="6" t="s">
        <v>285</v>
      </c>
      <c r="C98" s="56" t="n">
        <f aca="false">MAX(0,Assumptions!$C$50-C97)</f>
        <v>217.516422255177</v>
      </c>
    </row>
    <row r="99" customFormat="false" ht="15" hidden="false" customHeight="false" outlineLevel="0" collapsed="false">
      <c r="B99" s="6" t="s">
        <v>286</v>
      </c>
      <c r="C99" s="56" t="n">
        <f aca="false">O77/1000/Assumptions!$C$54</f>
        <v>15.3369583127369</v>
      </c>
    </row>
    <row r="100" customFormat="false" ht="15" hidden="false" customHeight="false" outlineLevel="0" collapsed="false">
      <c r="B100" s="5" t="s">
        <v>287</v>
      </c>
      <c r="C100" s="57" t="n">
        <f aca="false">MIN(Assumptions!$C$55,IFERROR(C98/C99,0))</f>
        <v>14.1825007162298</v>
      </c>
    </row>
    <row r="101" customFormat="false" ht="15" hidden="false" customHeight="false" outlineLevel="0" collapsed="false">
      <c r="B101" s="6" t="s">
        <v>289</v>
      </c>
      <c r="C101" s="58" t="n">
        <f aca="false">(1-(1+Assumptions!$C$33)^-C100)/Assumptions!$C$33</f>
        <v>7.89194779240261</v>
      </c>
    </row>
    <row r="102" customFormat="false" ht="15" hidden="false" customHeight="false" outlineLevel="0" collapsed="false">
      <c r="B102" s="6" t="s">
        <v>291</v>
      </c>
      <c r="C102" s="50" t="n">
        <f aca="false">O92*C101*O93</f>
        <v>11563.2164191215</v>
      </c>
    </row>
    <row r="103" customFormat="false" ht="15" hidden="false" customHeight="false" outlineLevel="0" collapsed="false">
      <c r="B103" s="6" t="s">
        <v>316</v>
      </c>
      <c r="C103" s="50" t="n">
        <f aca="false">O92*(1+C96)/(Assumptions!$C$33-C96)*O93</f>
        <v>25667.9556629038</v>
      </c>
    </row>
    <row r="104" customFormat="false" ht="15" hidden="false" customHeight="false" outlineLevel="0" collapsed="false">
      <c r="B104" s="5" t="s">
        <v>292</v>
      </c>
      <c r="C104" s="23" t="n">
        <f aca="false">C95+C102</f>
        <v>27306.5983776793</v>
      </c>
    </row>
    <row r="105" customFormat="false" ht="15" hidden="false" customHeight="false" outlineLevel="0" collapsed="false">
      <c r="B105" s="6" t="s">
        <v>317</v>
      </c>
      <c r="C105" s="50" t="n">
        <f aca="false">Assumptions!$C$21</f>
        <v>1462</v>
      </c>
    </row>
    <row r="106" customFormat="false" ht="15" hidden="false" customHeight="false" outlineLevel="0" collapsed="false">
      <c r="B106" s="5" t="s">
        <v>296</v>
      </c>
      <c r="C106" s="23" t="n">
        <f aca="false">C104+C105</f>
        <v>28768.5983776793</v>
      </c>
    </row>
    <row r="107" customFormat="false" ht="15" hidden="false" customHeight="false" outlineLevel="0" collapsed="false">
      <c r="B107" s="5" t="s">
        <v>297</v>
      </c>
      <c r="C107" s="59" t="n">
        <f aca="false">C106/Assumptions!$C$12</f>
        <v>8.93434732226067</v>
      </c>
    </row>
    <row r="108" customFormat="false" ht="15" hidden="false" customHeight="false" outlineLevel="0" collapsed="false">
      <c r="B108" s="5" t="s">
        <v>318</v>
      </c>
      <c r="C108" s="35" t="n">
        <f aca="false">C107/Assumptions!$C$11-1</f>
        <v>0.630355350777494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FBF3F"/>
    <pageSetUpPr fitToPage="false"/>
  </sheetPr>
  <dimension ref="B2:H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0"/>
    <col collapsed="false" customWidth="true" hidden="false" outlineLevel="0" max="5" min="3" style="0" width="16"/>
    <col collapsed="false" customWidth="true" hidden="false" outlineLevel="0" max="6" min="6" style="0" width="18"/>
    <col collapsed="false" customWidth="true" hidden="false" outlineLevel="0" max="15" min="7" style="0" width="11.5"/>
  </cols>
  <sheetData>
    <row r="2" customFormat="false" ht="19.7" hidden="false" customHeight="false" outlineLevel="0" collapsed="false">
      <c r="B2" s="12" t="s">
        <v>321</v>
      </c>
    </row>
    <row r="3" customFormat="false" ht="15" hidden="false" customHeight="false" outlineLevel="0" collapsed="false">
      <c r="B3" s="13" t="s">
        <v>322</v>
      </c>
    </row>
    <row r="4" customFormat="false" ht="15" hidden="false" customHeight="false" outlineLevel="0" collapsed="false">
      <c r="B4" s="11" t="s">
        <v>64</v>
      </c>
    </row>
    <row r="6" customFormat="false" ht="15" hidden="false" customHeight="false" outlineLevel="0" collapsed="false">
      <c r="B6" s="15"/>
      <c r="C6" s="61" t="s">
        <v>63</v>
      </c>
      <c r="D6" s="61" t="s">
        <v>65</v>
      </c>
      <c r="E6" s="61" t="s">
        <v>66</v>
      </c>
      <c r="F6" s="61" t="s">
        <v>323</v>
      </c>
    </row>
    <row r="7" customFormat="false" ht="15" hidden="false" customHeight="false" outlineLevel="0" collapsed="false">
      <c r="B7" s="5" t="s">
        <v>324</v>
      </c>
      <c r="C7" s="62" t="n">
        <v>0.25</v>
      </c>
      <c r="D7" s="62" t="n">
        <v>0.5</v>
      </c>
      <c r="E7" s="62" t="n">
        <v>0.25</v>
      </c>
      <c r="F7" s="35" t="n">
        <f aca="false">SUM(C7:E7)</f>
        <v>1</v>
      </c>
    </row>
    <row r="8" customFormat="false" ht="15" hidden="false" customHeight="false" outlineLevel="0" collapsed="false">
      <c r="B8" s="6" t="s">
        <v>88</v>
      </c>
      <c r="C8" s="50" t="n">
        <f aca="false">'Scenario Engine'!$C$34</f>
        <v>5830.37408323384</v>
      </c>
      <c r="D8" s="50" t="n">
        <f aca="false">'Scenario Engine'!$C$69</f>
        <v>19460.198458088</v>
      </c>
      <c r="E8" s="50" t="n">
        <f aca="false">'Scenario Engine'!$C$104</f>
        <v>27306.5983776793</v>
      </c>
      <c r="F8" s="23" t="n">
        <f aca="false">SUMPRODUCT(C8:E8,C$7:E$7)</f>
        <v>18014.3423442723</v>
      </c>
    </row>
    <row r="9" customFormat="false" ht="15" hidden="false" customHeight="false" outlineLevel="0" collapsed="false">
      <c r="B9" s="6" t="s">
        <v>325</v>
      </c>
      <c r="C9" s="50" t="n">
        <f aca="false">'Scenario Engine'!$C$36</f>
        <v>7292.37408323384</v>
      </c>
      <c r="D9" s="50" t="n">
        <f aca="false">'Scenario Engine'!$C$71</f>
        <v>20922.198458088</v>
      </c>
      <c r="E9" s="50" t="n">
        <f aca="false">'Scenario Engine'!$C$106</f>
        <v>28768.5983776793</v>
      </c>
      <c r="F9" s="23" t="n">
        <f aca="false">SUMPRODUCT(C9:E9,C$7:E$7)</f>
        <v>19476.3423442723</v>
      </c>
    </row>
    <row r="10" customFormat="false" ht="15" hidden="false" customHeight="false" outlineLevel="0" collapsed="false">
      <c r="B10" s="5" t="s">
        <v>297</v>
      </c>
      <c r="C10" s="63" t="n">
        <f aca="false">'Scenario Engine'!$C$37</f>
        <v>2.26471244820927</v>
      </c>
      <c r="D10" s="63" t="n">
        <f aca="false">'Scenario Engine'!$C$72</f>
        <v>6.4975771608969</v>
      </c>
      <c r="E10" s="63" t="n">
        <f aca="false">'Scenario Engine'!$C$107</f>
        <v>8.93434732226067</v>
      </c>
      <c r="F10" s="64" t="n">
        <f aca="false">SUMPRODUCT(C10:E10,C$7:E$7)</f>
        <v>6.04855352306593</v>
      </c>
    </row>
    <row r="11" customFormat="false" ht="15" hidden="false" customHeight="false" outlineLevel="0" collapsed="false">
      <c r="B11" s="5" t="s">
        <v>326</v>
      </c>
      <c r="C11" s="35" t="n">
        <f aca="false">'Scenario Engine'!$C$38</f>
        <v>-0.586731305071302</v>
      </c>
      <c r="D11" s="35" t="n">
        <f aca="false">'Scenario Engine'!$C$73</f>
        <v>0.18568926293739</v>
      </c>
      <c r="E11" s="35" t="n">
        <f aca="false">'Scenario Engine'!$C$108</f>
        <v>0.630355350777494</v>
      </c>
      <c r="F11" s="65" t="n">
        <f aca="false">SUMPRODUCT(C11:E11,C$7:E$7)</f>
        <v>0.103750642895243</v>
      </c>
    </row>
    <row r="13" customFormat="false" ht="15" hidden="false" customHeight="false" outlineLevel="0" collapsed="false">
      <c r="B13" s="66" t="s">
        <v>327</v>
      </c>
    </row>
    <row r="14" customFormat="false" ht="15" hidden="false" customHeight="false" outlineLevel="0" collapsed="false">
      <c r="B14" s="6" t="s">
        <v>169</v>
      </c>
      <c r="C14" s="40" t="n">
        <f aca="false">'Scenario Engine'!I7</f>
        <v>990</v>
      </c>
      <c r="D14" s="40" t="n">
        <f aca="false">'Scenario Engine'!I42</f>
        <v>1365</v>
      </c>
      <c r="E14" s="40" t="n">
        <f aca="false">'Scenario Engine'!I77</f>
        <v>1625</v>
      </c>
    </row>
    <row r="15" customFormat="false" ht="15" hidden="false" customHeight="false" outlineLevel="0" collapsed="false">
      <c r="B15" s="6" t="s">
        <v>192</v>
      </c>
      <c r="C15" s="50" t="n">
        <f aca="false">'Scenario Engine'!I8</f>
        <v>1050</v>
      </c>
      <c r="D15" s="50" t="n">
        <f aca="false">'Scenario Engine'!I43</f>
        <v>1800</v>
      </c>
      <c r="E15" s="50" t="n">
        <f aca="false">'Scenario Engine'!I78</f>
        <v>2450</v>
      </c>
    </row>
    <row r="16" customFormat="false" ht="15" hidden="false" customHeight="false" outlineLevel="0" collapsed="false">
      <c r="B16" s="6" t="s">
        <v>328</v>
      </c>
      <c r="C16" s="50" t="n">
        <f aca="false">'Scenario Engine'!I10</f>
        <v>640</v>
      </c>
      <c r="D16" s="50" t="n">
        <f aca="false">'Scenario Engine'!I45</f>
        <v>580</v>
      </c>
      <c r="E16" s="50" t="n">
        <f aca="false">'Scenario Engine'!I80</f>
        <v>540</v>
      </c>
    </row>
    <row r="17" customFormat="false" ht="15" hidden="false" customHeight="false" outlineLevel="0" collapsed="false">
      <c r="B17" s="6" t="s">
        <v>329</v>
      </c>
      <c r="C17" s="50" t="n">
        <f aca="false">'Scenario Engine'!I15</f>
        <v>618.006477581522</v>
      </c>
      <c r="D17" s="50" t="n">
        <f aca="false">'Scenario Engine'!I50</f>
        <v>2306.14886888587</v>
      </c>
      <c r="E17" s="50" t="n">
        <f aca="false">'Scenario Engine'!I85</f>
        <v>4205.62926743659</v>
      </c>
    </row>
    <row r="19" customFormat="false" ht="15" hidden="false" customHeight="false" outlineLevel="0" collapsed="false">
      <c r="B19" s="66" t="s">
        <v>330</v>
      </c>
    </row>
    <row r="20" customFormat="false" ht="42" hidden="false" customHeight="true" outlineLevel="0" collapsed="false">
      <c r="B20" s="9" t="s">
        <v>63</v>
      </c>
      <c r="C20" s="67" t="s">
        <v>331</v>
      </c>
      <c r="D20" s="67"/>
      <c r="E20" s="67"/>
      <c r="F20" s="67"/>
      <c r="G20" s="67"/>
      <c r="H20" s="67"/>
    </row>
    <row r="21" customFormat="false" ht="42" hidden="false" customHeight="true" outlineLevel="0" collapsed="false">
      <c r="B21" s="9" t="s">
        <v>65</v>
      </c>
      <c r="C21" s="67" t="s">
        <v>332</v>
      </c>
      <c r="D21" s="67"/>
      <c r="E21" s="67"/>
      <c r="F21" s="67"/>
      <c r="G21" s="67"/>
      <c r="H21" s="67"/>
    </row>
    <row r="22" customFormat="false" ht="42" hidden="false" customHeight="true" outlineLevel="0" collapsed="false">
      <c r="B22" s="9" t="s">
        <v>66</v>
      </c>
      <c r="C22" s="67" t="s">
        <v>333</v>
      </c>
      <c r="D22" s="67"/>
      <c r="E22" s="67"/>
      <c r="F22" s="67"/>
      <c r="G22" s="67"/>
      <c r="H22" s="67"/>
    </row>
  </sheetData>
  <mergeCells count="3">
    <mergeCell ref="C20:H20"/>
    <mergeCell ref="C21:H21"/>
    <mergeCell ref="C22:H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FBF3F"/>
    <pageSetUpPr fitToPage="false"/>
  </sheetPr>
  <dimension ref="B2:O3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0"/>
    <col collapsed="false" customWidth="true" hidden="false" outlineLevel="0" max="15" min="3" style="0" width="11.5"/>
  </cols>
  <sheetData>
    <row r="2" customFormat="false" ht="19.7" hidden="false" customHeight="false" outlineLevel="0" collapsed="false">
      <c r="B2" s="12" t="s">
        <v>334</v>
      </c>
    </row>
    <row r="3" customFormat="false" ht="15" hidden="false" customHeight="false" outlineLevel="0" collapsed="false">
      <c r="B3" s="13" t="s">
        <v>335</v>
      </c>
    </row>
    <row r="4" customFormat="false" ht="15" hidden="false" customHeight="false" outlineLevel="0" collapsed="false">
      <c r="B4" s="11" t="s">
        <v>64</v>
      </c>
    </row>
    <row r="6" customFormat="false" ht="15" hidden="false" customHeight="false" outlineLevel="0" collapsed="false">
      <c r="B6" s="19" t="s">
        <v>336</v>
      </c>
      <c r="C6" s="20"/>
      <c r="D6" s="20"/>
      <c r="E6" s="20"/>
      <c r="F6" s="20"/>
      <c r="G6" s="20"/>
      <c r="H6" s="20"/>
      <c r="I6" s="20"/>
      <c r="J6" s="20"/>
    </row>
    <row r="7" customFormat="false" ht="15" hidden="false" customHeight="false" outlineLevel="0" collapsed="false">
      <c r="B7" s="68" t="s">
        <v>337</v>
      </c>
      <c r="C7" s="69" t="n">
        <v>0.0788</v>
      </c>
      <c r="D7" s="69" t="n">
        <v>0.0838</v>
      </c>
      <c r="E7" s="69" t="n">
        <v>0.0888</v>
      </c>
      <c r="F7" s="69" t="n">
        <v>0.0938</v>
      </c>
      <c r="G7" s="69" t="n">
        <v>0.0988</v>
      </c>
    </row>
    <row r="8" customFormat="false" ht="15" hidden="false" customHeight="false" outlineLevel="0" collapsed="false">
      <c r="B8" s="70" t="n">
        <v>10</v>
      </c>
      <c r="C8" s="71" t="n">
        <f aca="false">(SUMPRODUCT('Scenario Engine'!F57:O57,1/(1+C$7)^DCF!F14:O14)+'Scenario Engine'!O57*(1-(1+C$7)^-$B8)/C$7/(1+C$7)^DCF!O14+Assumptions!$C$21)/Assumptions!$C$12</f>
        <v>6.2833438786021</v>
      </c>
      <c r="D8" s="71" t="n">
        <f aca="false">(SUMPRODUCT('Scenario Engine'!F57:O57,1/(1+D$7)^DCF!F14:O14)+'Scenario Engine'!O57*(1-(1+D$7)^-$B8)/D$7/(1+D$7)^DCF!O14+Assumptions!$C$21)/Assumptions!$C$12</f>
        <v>6.0249514090978</v>
      </c>
      <c r="E8" s="71" t="n">
        <f aca="false">(SUMPRODUCT('Scenario Engine'!F57:O57,1/(1+E$7)^DCF!F14:O14)+'Scenario Engine'!O57*(1-(1+E$7)^-$B8)/E$7/(1+E$7)^DCF!O14+Assumptions!$C$21)/Assumptions!$C$12</f>
        <v>5.78192379000033</v>
      </c>
      <c r="F8" s="71" t="n">
        <f aca="false">(SUMPRODUCT('Scenario Engine'!F57:O57,1/(1+F$7)^DCF!F14:O14)+'Scenario Engine'!O57*(1-(1+F$7)^-$B8)/F$7/(1+F$7)^DCF!O14+Assumptions!$C$21)/Assumptions!$C$12</f>
        <v>5.55318479193557</v>
      </c>
      <c r="G8" s="71" t="n">
        <f aca="false">(SUMPRODUCT('Scenario Engine'!F57:O57,1/(1+G$7)^DCF!F14:O14)+'Scenario Engine'!O57*(1-(1+G$7)^-$B8)/G$7/(1+G$7)^DCF!O14+Assumptions!$C$21)/Assumptions!$C$12</f>
        <v>5.33774274688339</v>
      </c>
    </row>
    <row r="9" customFormat="false" ht="15" hidden="false" customHeight="false" outlineLevel="0" collapsed="false">
      <c r="B9" s="70" t="n">
        <v>15</v>
      </c>
      <c r="C9" s="71" t="n">
        <f aca="false">(SUMPRODUCT('Scenario Engine'!F57:O57,1/(1+C$7)^DCF!F14:O14)+'Scenario Engine'!O57*(1-(1+C$7)^-$B9)/C$7/(1+C$7)^DCF!O14+Assumptions!$C$21)/Assumptions!$C$12</f>
        <v>7.03155103054887</v>
      </c>
      <c r="D9" s="71" t="n">
        <f aca="false">(SUMPRODUCT('Scenario Engine'!F57:O57,1/(1+D$7)^DCF!F14:O14)+'Scenario Engine'!O57*(1-(1+D$7)^-$B9)/D$7/(1+D$7)^DCF!O14+Assumptions!$C$21)/Assumptions!$C$12</f>
        <v>6.69971284682114</v>
      </c>
      <c r="E9" s="71" t="n">
        <f aca="false">(SUMPRODUCT('Scenario Engine'!F57:O57,1/(1+E$7)^DCF!F14:O14)+'Scenario Engine'!O57*(1-(1+E$7)^-$B9)/E$7/(1+E$7)^DCF!O14+Assumptions!$C$21)/Assumptions!$C$12</f>
        <v>6.39076421339548</v>
      </c>
      <c r="F9" s="71" t="n">
        <f aca="false">(SUMPRODUCT('Scenario Engine'!F57:O57,1/(1+F$7)^DCF!F14:O14)+'Scenario Engine'!O57*(1-(1+F$7)^-$B9)/F$7/(1+F$7)^DCF!O14+Assumptions!$C$21)/Assumptions!$C$12</f>
        <v>6.10282610282252</v>
      </c>
      <c r="G9" s="71" t="n">
        <f aca="false">(SUMPRODUCT('Scenario Engine'!F57:O57,1/(1+G$7)^DCF!F14:O14)+'Scenario Engine'!O57*(1-(1+G$7)^-$B9)/G$7/(1+G$7)^DCF!O14+Assumptions!$C$21)/Assumptions!$C$12</f>
        <v>5.83419305573031</v>
      </c>
    </row>
    <row r="10" customFormat="false" ht="15" hidden="false" customHeight="false" outlineLevel="0" collapsed="false">
      <c r="B10" s="70" t="n">
        <v>20</v>
      </c>
      <c r="C10" s="71" t="n">
        <f aca="false">(SUMPRODUCT('Scenario Engine'!F57:O57,1/(1+C$7)^DCF!F14:O14)+'Scenario Engine'!O57*(1-(1+C$7)^-$B10)/C$7/(1+C$7)^DCF!O14+Assumptions!$C$21)/Assumptions!$C$12</f>
        <v>7.54360668504584</v>
      </c>
      <c r="D10" s="71" t="n">
        <f aca="false">(SUMPRODUCT('Scenario Engine'!F57:O57,1/(1+D$7)^DCF!F14:O14)+'Scenario Engine'!O57*(1-(1+D$7)^-$B10)/D$7/(1+D$7)^DCF!O14+Assumptions!$C$21)/Assumptions!$C$12</f>
        <v>7.15094965806454</v>
      </c>
      <c r="E10" s="71" t="n">
        <f aca="false">(SUMPRODUCT('Scenario Engine'!F57:O57,1/(1+E$7)^DCF!F14:O14)+'Scenario Engine'!O57*(1-(1+E$7)^-$B10)/E$7/(1+E$7)^DCF!O14+Assumptions!$C$21)/Assumptions!$C$12</f>
        <v>6.78865411626023</v>
      </c>
      <c r="F10" s="72" t="n">
        <f aca="false">(SUMPRODUCT('Scenario Engine'!F57:O57,1/(1+F$7)^DCF!F14:O14)+'Scenario Engine'!O57*(1-(1+F$7)^-$B10)/F$7/(1+F$7)^DCF!O14+Assumptions!$C$21)/Assumptions!$C$12</f>
        <v>6.45389291161712</v>
      </c>
      <c r="G10" s="71" t="n">
        <f aca="false">(SUMPRODUCT('Scenario Engine'!F57:O57,1/(1+G$7)^DCF!F14:O14)+'Scenario Engine'!O57*(1-(1+G$7)^-$B10)/G$7/(1+G$7)^DCF!O14+Assumptions!$C$21)/Assumptions!$C$12</f>
        <v>6.14413655467392</v>
      </c>
    </row>
    <row r="11" customFormat="false" ht="15" hidden="false" customHeight="false" outlineLevel="0" collapsed="false">
      <c r="B11" s="70" t="n">
        <v>25</v>
      </c>
      <c r="C11" s="71" t="n">
        <f aca="false">(SUMPRODUCT('Scenario Engine'!F57:O57,1/(1+C$7)^DCF!F14:O14)+'Scenario Engine'!O57*(1-(1+C$7)^-$B11)/C$7/(1+C$7)^DCF!O14+Assumptions!$C$21)/Assumptions!$C$12</f>
        <v>7.89404572137436</v>
      </c>
      <c r="D11" s="71" t="n">
        <f aca="false">(SUMPRODUCT('Scenario Engine'!F57:O57,1/(1+D$7)^DCF!F14:O14)+'Scenario Engine'!O57*(1-(1+D$7)^-$B11)/D$7/(1+D$7)^DCF!O14+Assumptions!$C$21)/Assumptions!$C$12</f>
        <v>7.45270765494729</v>
      </c>
      <c r="E11" s="71" t="n">
        <f aca="false">(SUMPRODUCT('Scenario Engine'!F57:O57,1/(1+E$7)^DCF!F14:O14)+'Scenario Engine'!O57*(1-(1+E$7)^-$B11)/E$7/(1+E$7)^DCF!O14+Assumptions!$C$21)/Assumptions!$C$12</f>
        <v>7.04868345846272</v>
      </c>
      <c r="F11" s="71" t="n">
        <f aca="false">(SUMPRODUCT('Scenario Engine'!F57:O57,1/(1+F$7)^DCF!F14:O14)+'Scenario Engine'!O57*(1-(1+F$7)^-$B11)/F$7/(1+F$7)^DCF!O14+Assumptions!$C$21)/Assumptions!$C$12</f>
        <v>6.67812624669585</v>
      </c>
      <c r="G11" s="71" t="n">
        <f aca="false">(SUMPRODUCT('Scenario Engine'!F57:O57,1/(1+G$7)^DCF!F14:O14)+'Scenario Engine'!O57*(1-(1+G$7)^-$B11)/G$7/(1+G$7)^DCF!O14+Assumptions!$C$21)/Assumptions!$C$12</f>
        <v>6.33764025650569</v>
      </c>
    </row>
    <row r="12" customFormat="false" ht="15" hidden="false" customHeight="false" outlineLevel="0" collapsed="false">
      <c r="B12" s="70" t="n">
        <v>30</v>
      </c>
      <c r="C12" s="71" t="n">
        <f aca="false">(SUMPRODUCT('Scenario Engine'!F57:O57,1/(1+C$7)^DCF!F14:O14)+'Scenario Engine'!O57*(1-(1+C$7)^-$B12)/C$7/(1+C$7)^DCF!O14+Assumptions!$C$21)/Assumptions!$C$12</f>
        <v>8.13387808550185</v>
      </c>
      <c r="D12" s="71" t="n">
        <f aca="false">(SUMPRODUCT('Scenario Engine'!F57:O57,1/(1+D$7)^DCF!F14:O14)+'Scenario Engine'!O57*(1-(1+D$7)^-$B12)/D$7/(1+D$7)^DCF!O14+Assumptions!$C$21)/Assumptions!$C$12</f>
        <v>7.65450388790926</v>
      </c>
      <c r="E12" s="71" t="n">
        <f aca="false">(SUMPRODUCT('Scenario Engine'!F57:O57,1/(1+E$7)^DCF!F14:O14)+'Scenario Engine'!O57*(1-(1+E$7)^-$B12)/E$7/(1+E$7)^DCF!O14+Assumptions!$C$21)/Assumptions!$C$12</f>
        <v>7.21861805172441</v>
      </c>
      <c r="F12" s="71" t="n">
        <f aca="false">(SUMPRODUCT('Scenario Engine'!F57:O57,1/(1+F$7)^DCF!F14:O14)+'Scenario Engine'!O57*(1-(1+F$7)^-$B12)/F$7/(1+F$7)^DCF!O14+Assumptions!$C$21)/Assumptions!$C$12</f>
        <v>6.82134852604823</v>
      </c>
      <c r="G12" s="71" t="n">
        <f aca="false">(SUMPRODUCT('Scenario Engine'!F57:O57,1/(1+G$7)^DCF!F14:O14)+'Scenario Engine'!O57*(1-(1+G$7)^-$B12)/G$7/(1+G$7)^DCF!O14+Assumptions!$C$21)/Assumptions!$C$12</f>
        <v>6.45844834814246</v>
      </c>
    </row>
    <row r="14" customFormat="false" ht="15" hidden="false" customHeight="false" outlineLevel="0" collapsed="false">
      <c r="B14" s="11" t="s">
        <v>338</v>
      </c>
    </row>
    <row r="16" customFormat="false" ht="15" hidden="false" customHeight="false" outlineLevel="0" collapsed="false">
      <c r="B16" s="19" t="s">
        <v>339</v>
      </c>
      <c r="C16" s="20"/>
      <c r="D16" s="20"/>
      <c r="E16" s="20"/>
      <c r="F16" s="20"/>
      <c r="G16" s="20"/>
      <c r="H16" s="20"/>
      <c r="I16" s="20"/>
      <c r="J16" s="20"/>
    </row>
    <row r="17" customFormat="false" ht="18" hidden="false" customHeight="true" outlineLevel="0" collapsed="false">
      <c r="B17" s="37" t="s">
        <v>340</v>
      </c>
      <c r="C17" s="38" t="s">
        <v>144</v>
      </c>
      <c r="D17" s="38" t="s">
        <v>145</v>
      </c>
      <c r="E17" s="38" t="s">
        <v>146</v>
      </c>
      <c r="F17" s="38" t="s">
        <v>147</v>
      </c>
      <c r="G17" s="38" t="s">
        <v>148</v>
      </c>
      <c r="H17" s="38" t="s">
        <v>149</v>
      </c>
      <c r="I17" s="38" t="s">
        <v>150</v>
      </c>
      <c r="J17" s="38" t="s">
        <v>151</v>
      </c>
      <c r="K17" s="38" t="s">
        <v>152</v>
      </c>
      <c r="L17" s="38" t="s">
        <v>153</v>
      </c>
      <c r="M17" s="38" t="s">
        <v>154</v>
      </c>
      <c r="N17" s="38" t="s">
        <v>155</v>
      </c>
      <c r="O17" s="38" t="s">
        <v>156</v>
      </c>
    </row>
    <row r="18" customFormat="false" ht="15" hidden="false" customHeight="false" outlineLevel="0" collapsed="false">
      <c r="B18" s="6" t="s">
        <v>169</v>
      </c>
      <c r="F18" s="46" t="n">
        <f aca="false">'Scenario Engine'!F42</f>
        <v>1065</v>
      </c>
      <c r="G18" s="46" t="n">
        <f aca="false">'Scenario Engine'!G42</f>
        <v>1115</v>
      </c>
      <c r="H18" s="46" t="n">
        <f aca="false">'Scenario Engine'!H42</f>
        <v>1115</v>
      </c>
      <c r="I18" s="46" t="n">
        <f aca="false">'Scenario Engine'!I42</f>
        <v>1365</v>
      </c>
      <c r="J18" s="46" t="n">
        <f aca="false">'Scenario Engine'!J42</f>
        <v>1665</v>
      </c>
      <c r="K18" s="46" t="n">
        <f aca="false">'Scenario Engine'!K42</f>
        <v>2065</v>
      </c>
      <c r="L18" s="46" t="n">
        <f aca="false">'Scenario Engine'!L42</f>
        <v>2350</v>
      </c>
      <c r="M18" s="46" t="n">
        <f aca="false">'Scenario Engine'!M42</f>
        <v>2460</v>
      </c>
      <c r="N18" s="46" t="n">
        <f aca="false">'Scenario Engine'!N42</f>
        <v>2500</v>
      </c>
      <c r="O18" s="46" t="n">
        <f aca="false">'Scenario Engine'!O42</f>
        <v>2500</v>
      </c>
    </row>
    <row r="19" customFormat="false" ht="15" hidden="false" customHeight="false" outlineLevel="0" collapsed="false">
      <c r="B19" s="6" t="s">
        <v>178</v>
      </c>
      <c r="F19" s="48" t="n">
        <f aca="false">'Scenario Engine'!F44</f>
        <v>2575.75757575758</v>
      </c>
      <c r="G19" s="48" t="n">
        <f aca="false">'Scenario Engine'!G44</f>
        <v>2656.71641791045</v>
      </c>
      <c r="H19" s="48" t="n">
        <f aca="false">'Scenario Engine'!H44</f>
        <v>2720.58823529412</v>
      </c>
      <c r="I19" s="48" t="n">
        <f aca="false">'Scenario Engine'!I44</f>
        <v>2608.69565217391</v>
      </c>
      <c r="J19" s="48" t="n">
        <f aca="false">'Scenario Engine'!J44</f>
        <v>2500</v>
      </c>
      <c r="K19" s="48" t="n">
        <f aca="false">'Scenario Engine'!K44</f>
        <v>2500</v>
      </c>
      <c r="L19" s="48" t="n">
        <f aca="false">'Scenario Engine'!L44</f>
        <v>2500</v>
      </c>
      <c r="M19" s="48" t="n">
        <f aca="false">'Scenario Engine'!M44</f>
        <v>2500</v>
      </c>
      <c r="N19" s="48" t="n">
        <f aca="false">'Scenario Engine'!N44</f>
        <v>2500</v>
      </c>
      <c r="O19" s="48" t="n">
        <f aca="false">'Scenario Engine'!O44</f>
        <v>2500</v>
      </c>
    </row>
    <row r="20" customFormat="false" ht="15" hidden="false" customHeight="false" outlineLevel="0" collapsed="false">
      <c r="B20" s="6" t="s">
        <v>328</v>
      </c>
      <c r="F20" s="48" t="n">
        <f aca="false">'Scenario Engine'!F45</f>
        <v>600</v>
      </c>
      <c r="G20" s="48" t="n">
        <f aca="false">'Scenario Engine'!G45</f>
        <v>590</v>
      </c>
      <c r="H20" s="48" t="n">
        <f aca="false">'Scenario Engine'!H45</f>
        <v>585</v>
      </c>
      <c r="I20" s="48" t="n">
        <f aca="false">'Scenario Engine'!I45</f>
        <v>580</v>
      </c>
      <c r="J20" s="48" t="n">
        <f aca="false">'Scenario Engine'!J45</f>
        <v>570</v>
      </c>
      <c r="K20" s="48" t="n">
        <f aca="false">'Scenario Engine'!K45</f>
        <v>565</v>
      </c>
      <c r="L20" s="48" t="n">
        <f aca="false">'Scenario Engine'!L45</f>
        <v>565</v>
      </c>
      <c r="M20" s="48" t="n">
        <f aca="false">'Scenario Engine'!M45</f>
        <v>565</v>
      </c>
      <c r="N20" s="48" t="n">
        <f aca="false">'Scenario Engine'!N45</f>
        <v>565</v>
      </c>
      <c r="O20" s="48" t="n">
        <f aca="false">'Scenario Engine'!O45</f>
        <v>565</v>
      </c>
    </row>
    <row r="21" customFormat="false" ht="15" hidden="false" customHeight="false" outlineLevel="0" collapsed="false">
      <c r="B21" s="6" t="s">
        <v>341</v>
      </c>
      <c r="F21" s="49" t="n">
        <f aca="false">'Scenario Engine'!F58</f>
        <v>0.958356165276277</v>
      </c>
      <c r="G21" s="49" t="n">
        <f aca="false">'Scenario Engine'!G58</f>
        <v>0.880198903628577</v>
      </c>
      <c r="H21" s="49" t="n">
        <f aca="false">'Scenario Engine'!H58</f>
        <v>0.80841563712965</v>
      </c>
      <c r="I21" s="49" t="n">
        <f aca="false">'Scenario Engine'!I58</f>
        <v>0.74248654441805</v>
      </c>
      <c r="J21" s="49" t="n">
        <f aca="false">'Scenario Engine'!J58</f>
        <v>0.681934197363186</v>
      </c>
      <c r="K21" s="49" t="n">
        <f aca="false">'Scenario Engine'!K58</f>
        <v>0.626320103750647</v>
      </c>
      <c r="L21" s="49" t="n">
        <f aca="false">'Scenario Engine'!L58</f>
        <v>0.5752415319235</v>
      </c>
      <c r="M21" s="49" t="n">
        <f aca="false">'Scenario Engine'!M58</f>
        <v>0.528328594385077</v>
      </c>
      <c r="N21" s="49" t="n">
        <f aca="false">'Scenario Engine'!N58</f>
        <v>0.485241569244051</v>
      </c>
      <c r="O21" s="49" t="n">
        <f aca="false">'Scenario Engine'!O58</f>
        <v>0.445668440104934</v>
      </c>
    </row>
    <row r="22" customFormat="false" ht="15" hidden="false" customHeight="false" outlineLevel="0" collapsed="false">
      <c r="B22" s="6" t="s">
        <v>342</v>
      </c>
      <c r="F22" s="50" t="n">
        <f aca="false">F18/1000*F19*(1-'Revenue Build'!F20)*(1-Assumptions!$C$42)*(1-Assumptions!$C$31)*F21</f>
        <v>1653.84314085563</v>
      </c>
      <c r="G22" s="50" t="n">
        <f aca="false">G18/1000*G19*(1-'Revenue Build'!G20)*(1-Assumptions!$C$42)*(1-Assumptions!$C$31)*G21</f>
        <v>1640.26369305174</v>
      </c>
      <c r="H22" s="50" t="n">
        <f aca="false">H18/1000*H19*(1-'Revenue Build'!H20)*(1-Assumptions!$C$42)*(1-Assumptions!$C$31)*H21</f>
        <v>1542.71311021278</v>
      </c>
      <c r="I22" s="50" t="n">
        <f aca="false">I18/1000*I19*(1-'Revenue Build'!I20)*(1-Assumptions!$C$42)*(1-Assumptions!$C$31)*I21</f>
        <v>1663.24962837692</v>
      </c>
      <c r="J22" s="50" t="n">
        <f aca="false">J18/1000*J19*(1-'Revenue Build'!J20)*(1-Assumptions!$C$42)*(1-Assumptions!$C$31)*J21</f>
        <v>1785.70410931245</v>
      </c>
      <c r="K22" s="50" t="n">
        <f aca="false">K18/1000*K19*(1-'Revenue Build'!K20)*(1-Assumptions!$C$42)*(1-Assumptions!$C$31)*K21</f>
        <v>2034.0854738786</v>
      </c>
      <c r="L22" s="50" t="n">
        <f aca="false">L18/1000*L19*(1-'Revenue Build'!L20)*(1-Assumptions!$C$42)*(1-Assumptions!$C$31)*L21</f>
        <v>2126.03733499181</v>
      </c>
      <c r="M22" s="50" t="n">
        <f aca="false">M18/1000*M19*(1-'Revenue Build'!M20)*(1-Assumptions!$C$42)*(1-Assumptions!$C$31)*M21</f>
        <v>2044.0523479665</v>
      </c>
      <c r="N22" s="50" t="n">
        <f aca="false">N18/1000*N19*(1-'Revenue Build'!N20)*(1-Assumptions!$C$42)*(1-Assumptions!$C$31)*N21</f>
        <v>1907.87886747338</v>
      </c>
      <c r="O22" s="50" t="n">
        <f aca="false">O18/1000*O19*(1-'Revenue Build'!O20)*(1-Assumptions!$C$42)*(1-Assumptions!$C$31)*O21</f>
        <v>1752.28474366008</v>
      </c>
    </row>
    <row r="23" customFormat="false" ht="15" hidden="false" customHeight="false" outlineLevel="0" collapsed="false">
      <c r="B23" s="6" t="s">
        <v>343</v>
      </c>
      <c r="F23" s="50" t="n">
        <f aca="false">F18/1000*F20*(1-Assumptions!$C$31)*F21</f>
        <v>428.672712728079</v>
      </c>
      <c r="G23" s="50" t="n">
        <f aca="false">G18/1000*G20*(1-Assumptions!$C$31)*G21</f>
        <v>405.327194126442</v>
      </c>
      <c r="H23" s="50" t="n">
        <f aca="false">H18/1000*H20*(1-Assumptions!$C$31)*H21</f>
        <v>369.11651679612</v>
      </c>
      <c r="I23" s="50" t="n">
        <f aca="false">I18/1000*I20*(1-Assumptions!$C$31)*I21</f>
        <v>411.478618051039</v>
      </c>
      <c r="J23" s="50" t="n">
        <f aca="false">J18/1000*J20*(1-Assumptions!$C$31)*J21</f>
        <v>453.032755005272</v>
      </c>
      <c r="K23" s="50" t="n">
        <f aca="false">K18/1000*K20*(1-Assumptions!$C$31)*K21</f>
        <v>511.520326133931</v>
      </c>
      <c r="L23" s="50" t="n">
        <f aca="false">L18/1000*L20*(1-Assumptions!$C$31)*L21</f>
        <v>534.643860807999</v>
      </c>
      <c r="M23" s="50" t="n">
        <f aca="false">M18/1000*M20*(1-Assumptions!$C$31)*M21</f>
        <v>514.026739335073</v>
      </c>
      <c r="N23" s="50" t="n">
        <f aca="false">N18/1000*N20*(1-Assumptions!$C$31)*N21</f>
        <v>479.782601590056</v>
      </c>
      <c r="O23" s="50" t="n">
        <f aca="false">O18/1000*O20*(1-Assumptions!$C$31)*O21</f>
        <v>440.654670153753</v>
      </c>
    </row>
    <row r="25" customFormat="false" ht="15" hidden="false" customHeight="false" outlineLevel="0" collapsed="false">
      <c r="B25" s="6" t="s">
        <v>344</v>
      </c>
      <c r="C25" s="23" t="n">
        <f aca="false">SUM(F22:O22)+O22*(1+Assumptions!$C$36)/(Assumptions!$C$33-Assumptions!$C$36)</f>
        <v>46304.2289518816</v>
      </c>
    </row>
    <row r="26" customFormat="false" ht="15" hidden="false" customHeight="false" outlineLevel="0" collapsed="false">
      <c r="B26" s="6" t="s">
        <v>345</v>
      </c>
      <c r="C26" s="23" t="n">
        <f aca="false">SUM(F23:O23)+O23*(1+Assumptions!$C$36)/(Assumptions!$C$33-Assumptions!$C$36)</f>
        <v>11628.2941937653</v>
      </c>
    </row>
    <row r="28" customFormat="false" ht="15" hidden="false" customHeight="false" outlineLevel="0" collapsed="false">
      <c r="B28" s="19" t="s">
        <v>346</v>
      </c>
      <c r="C28" s="20"/>
      <c r="D28" s="20"/>
      <c r="E28" s="20"/>
      <c r="F28" s="20"/>
      <c r="G28" s="20"/>
      <c r="H28" s="20"/>
      <c r="I28" s="20"/>
      <c r="J28" s="20"/>
    </row>
    <row r="29" customFormat="false" ht="15" hidden="false" customHeight="false" outlineLevel="0" collapsed="false">
      <c r="B29" s="68" t="s">
        <v>347</v>
      </c>
      <c r="C29" s="73" t="n">
        <v>-0.2</v>
      </c>
      <c r="D29" s="73" t="n">
        <v>-0.1</v>
      </c>
      <c r="E29" s="73" t="n">
        <v>0</v>
      </c>
      <c r="F29" s="73" t="n">
        <v>0.1</v>
      </c>
      <c r="G29" s="73" t="n">
        <v>0.2</v>
      </c>
    </row>
    <row r="30" customFormat="false" ht="15" hidden="false" customHeight="false" outlineLevel="0" collapsed="false">
      <c r="B30" s="74" t="n">
        <v>-0.1</v>
      </c>
      <c r="C30" s="71" t="n">
        <f aca="false">'Scenario Engine'!$C$72+($C$25*C$29-$C$26*$B30)/Assumptions!$C$12</f>
        <v>3.98266524443733</v>
      </c>
      <c r="D30" s="71" t="n">
        <f aca="false">'Scenario Engine'!$C$72+($C$25*D$29-$C$26*$B30)/Assumptions!$C$12</f>
        <v>5.42068477710447</v>
      </c>
      <c r="E30" s="71" t="n">
        <f aca="false">'Scenario Engine'!$C$72+($C$25*E$29-$C$26*$B30)/Assumptions!$C$12</f>
        <v>6.8587043097716</v>
      </c>
      <c r="F30" s="71" t="n">
        <f aca="false">'Scenario Engine'!$C$72+($C$25*F$29-$C$26*$B30)/Assumptions!$C$12</f>
        <v>8.29672384243873</v>
      </c>
      <c r="G30" s="71" t="n">
        <f aca="false">'Scenario Engine'!$C$72+($C$25*G$29-$C$26*$B30)/Assumptions!$C$12</f>
        <v>9.73474337510586</v>
      </c>
    </row>
    <row r="31" customFormat="false" ht="15" hidden="false" customHeight="false" outlineLevel="0" collapsed="false">
      <c r="B31" s="74" t="n">
        <v>-0.05</v>
      </c>
      <c r="C31" s="71" t="n">
        <f aca="false">'Scenario Engine'!$C$72+($C$25*C$29-$C$26*$B31)/Assumptions!$C$12</f>
        <v>3.80210166999998</v>
      </c>
      <c r="D31" s="71" t="n">
        <f aca="false">'Scenario Engine'!$C$72+($C$25*D$29-$C$26*$B31)/Assumptions!$C$12</f>
        <v>5.24012120266712</v>
      </c>
      <c r="E31" s="71" t="n">
        <f aca="false">'Scenario Engine'!$C$72+($C$25*E$29-$C$26*$B31)/Assumptions!$C$12</f>
        <v>6.67814073533425</v>
      </c>
      <c r="F31" s="71" t="n">
        <f aca="false">'Scenario Engine'!$C$72+($C$25*F$29-$C$26*$B31)/Assumptions!$C$12</f>
        <v>8.11616026800138</v>
      </c>
      <c r="G31" s="71" t="n">
        <f aca="false">'Scenario Engine'!$C$72+($C$25*G$29-$C$26*$B31)/Assumptions!$C$12</f>
        <v>9.55417980066851</v>
      </c>
    </row>
    <row r="32" customFormat="false" ht="15" hidden="false" customHeight="false" outlineLevel="0" collapsed="false">
      <c r="B32" s="74" t="n">
        <v>0</v>
      </c>
      <c r="C32" s="71" t="n">
        <f aca="false">'Scenario Engine'!$C$72+($C$25*C$29-$C$26*$B32)/Assumptions!$C$12</f>
        <v>3.62153809556264</v>
      </c>
      <c r="D32" s="71" t="n">
        <f aca="false">'Scenario Engine'!$C$72+($C$25*D$29-$C$26*$B32)/Assumptions!$C$12</f>
        <v>5.05955762822977</v>
      </c>
      <c r="E32" s="72" t="n">
        <f aca="false">'Scenario Engine'!$C$72+($C$25*E$29-$C$26*$B32)/Assumptions!$C$12</f>
        <v>6.4975771608969</v>
      </c>
      <c r="F32" s="71" t="n">
        <f aca="false">'Scenario Engine'!$C$72+($C$25*F$29-$C$26*$B32)/Assumptions!$C$12</f>
        <v>7.93559669356403</v>
      </c>
      <c r="G32" s="71" t="n">
        <f aca="false">'Scenario Engine'!$C$72+($C$25*G$29-$C$26*$B32)/Assumptions!$C$12</f>
        <v>9.37361622623116</v>
      </c>
    </row>
    <row r="33" customFormat="false" ht="15" hidden="false" customHeight="false" outlineLevel="0" collapsed="false">
      <c r="B33" s="74" t="n">
        <v>0.05</v>
      </c>
      <c r="C33" s="71" t="n">
        <f aca="false">'Scenario Engine'!$C$72+($C$25*C$29-$C$26*$B33)/Assumptions!$C$12</f>
        <v>3.44097452112529</v>
      </c>
      <c r="D33" s="71" t="n">
        <f aca="false">'Scenario Engine'!$C$72+($C$25*D$29-$C$26*$B33)/Assumptions!$C$12</f>
        <v>4.87899405379242</v>
      </c>
      <c r="E33" s="71" t="n">
        <f aca="false">'Scenario Engine'!$C$72+($C$25*E$29-$C$26*$B33)/Assumptions!$C$12</f>
        <v>6.31701358645955</v>
      </c>
      <c r="F33" s="71" t="n">
        <f aca="false">'Scenario Engine'!$C$72+($C$25*F$29-$C$26*$B33)/Assumptions!$C$12</f>
        <v>7.75503311912668</v>
      </c>
      <c r="G33" s="71" t="n">
        <f aca="false">'Scenario Engine'!$C$72+($C$25*G$29-$C$26*$B33)/Assumptions!$C$12</f>
        <v>9.19305265179381</v>
      </c>
    </row>
    <row r="34" customFormat="false" ht="15" hidden="false" customHeight="false" outlineLevel="0" collapsed="false">
      <c r="B34" s="74" t="n">
        <v>0.1</v>
      </c>
      <c r="C34" s="71" t="n">
        <f aca="false">'Scenario Engine'!$C$72+($C$25*C$29-$C$26*$B34)/Assumptions!$C$12</f>
        <v>3.26041094668794</v>
      </c>
      <c r="D34" s="71" t="n">
        <f aca="false">'Scenario Engine'!$C$72+($C$25*D$29-$C$26*$B34)/Assumptions!$C$12</f>
        <v>4.69843047935507</v>
      </c>
      <c r="E34" s="71" t="n">
        <f aca="false">'Scenario Engine'!$C$72+($C$25*E$29-$C$26*$B34)/Assumptions!$C$12</f>
        <v>6.1364500120222</v>
      </c>
      <c r="F34" s="71" t="n">
        <f aca="false">'Scenario Engine'!$C$72+($C$25*F$29-$C$26*$B34)/Assumptions!$C$12</f>
        <v>7.57446954468933</v>
      </c>
      <c r="G34" s="71" t="n">
        <f aca="false">'Scenario Engine'!$C$72+($C$25*G$29-$C$26*$B34)/Assumptions!$C$12</f>
        <v>9.01248907735647</v>
      </c>
    </row>
    <row r="36" customFormat="false" ht="15" hidden="false" customHeight="false" outlineLevel="0" collapsed="false">
      <c r="B36" s="11" t="s">
        <v>348</v>
      </c>
    </row>
    <row r="37" customFormat="false" ht="15" hidden="false" customHeight="false" outlineLevel="0" collapsed="false">
      <c r="B37" s="11" t="s">
        <v>349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FBF3F"/>
    <pageSetUpPr fitToPage="false"/>
  </sheetPr>
  <dimension ref="B2:G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4"/>
    <col collapsed="false" customWidth="true" hidden="false" outlineLevel="0" max="3" min="3" style="0" width="14"/>
    <col collapsed="false" customWidth="true" hidden="false" outlineLevel="0" max="4" min="4" style="0" width="13"/>
    <col collapsed="false" customWidth="true" hidden="false" outlineLevel="0" max="5" min="5" style="0" width="14"/>
    <col collapsed="false" customWidth="true" hidden="false" outlineLevel="0" max="6" min="6" style="0" width="13"/>
    <col collapsed="false" customWidth="true" hidden="false" outlineLevel="0" max="7" min="7" style="0" width="56"/>
    <col collapsed="false" customWidth="true" hidden="false" outlineLevel="0" max="15" min="8" style="0" width="11.5"/>
  </cols>
  <sheetData>
    <row r="2" customFormat="false" ht="19.7" hidden="false" customHeight="false" outlineLevel="0" collapsed="false">
      <c r="B2" s="12" t="s">
        <v>350</v>
      </c>
    </row>
    <row r="3" customFormat="false" ht="15" hidden="false" customHeight="false" outlineLevel="0" collapsed="false">
      <c r="B3" s="13" t="s">
        <v>351</v>
      </c>
    </row>
    <row r="4" customFormat="false" ht="15" hidden="false" customHeight="false" outlineLevel="0" collapsed="false">
      <c r="B4" s="11" t="s">
        <v>64</v>
      </c>
    </row>
    <row r="6" customFormat="false" ht="15" hidden="false" customHeight="false" outlineLevel="0" collapsed="false">
      <c r="B6" s="68" t="s">
        <v>352</v>
      </c>
      <c r="C6" s="68" t="s">
        <v>353</v>
      </c>
      <c r="D6" s="68" t="s">
        <v>354</v>
      </c>
      <c r="E6" s="68" t="s">
        <v>355</v>
      </c>
      <c r="F6" s="68" t="s">
        <v>356</v>
      </c>
      <c r="G6" s="68" t="s">
        <v>357</v>
      </c>
    </row>
    <row r="7" customFormat="false" ht="25.5" hidden="false" customHeight="true" outlineLevel="0" collapsed="false">
      <c r="B7" s="5" t="s">
        <v>358</v>
      </c>
      <c r="C7" s="25" t="n">
        <v>9800</v>
      </c>
      <c r="D7" s="26" t="n">
        <v>1</v>
      </c>
      <c r="E7" s="50" t="n">
        <f aca="false">C7*D7</f>
        <v>9800</v>
      </c>
      <c r="F7" s="53" t="n">
        <f aca="false">E7/Assumptions!$C$12</f>
        <v>3.04347826086957</v>
      </c>
      <c r="G7" s="75" t="s">
        <v>359</v>
      </c>
    </row>
    <row r="8" customFormat="false" ht="25.5" hidden="false" customHeight="true" outlineLevel="0" collapsed="false">
      <c r="B8" s="5" t="s">
        <v>360</v>
      </c>
      <c r="C8" s="25" t="n">
        <v>1450</v>
      </c>
      <c r="D8" s="26" t="n">
        <v>0.95</v>
      </c>
      <c r="E8" s="50" t="n">
        <f aca="false">C8*D8</f>
        <v>1377.5</v>
      </c>
      <c r="F8" s="53" t="n">
        <f aca="false">E8/Assumptions!$C$12</f>
        <v>0.427795031055901</v>
      </c>
      <c r="G8" s="75" t="s">
        <v>361</v>
      </c>
    </row>
    <row r="9" customFormat="false" ht="25.5" hidden="false" customHeight="true" outlineLevel="0" collapsed="false">
      <c r="B9" s="5" t="s">
        <v>362</v>
      </c>
      <c r="C9" s="25" t="n">
        <v>2600</v>
      </c>
      <c r="D9" s="26" t="n">
        <v>0.7</v>
      </c>
      <c r="E9" s="50" t="n">
        <f aca="false">C9*D9</f>
        <v>1820</v>
      </c>
      <c r="F9" s="53" t="n">
        <f aca="false">E9/Assumptions!$C$12</f>
        <v>0.565217391304348</v>
      </c>
      <c r="G9" s="75" t="s">
        <v>363</v>
      </c>
    </row>
    <row r="10" customFormat="false" ht="25.5" hidden="false" customHeight="true" outlineLevel="0" collapsed="false">
      <c r="B10" s="5" t="s">
        <v>364</v>
      </c>
      <c r="C10" s="25" t="n">
        <v>900</v>
      </c>
      <c r="D10" s="26" t="n">
        <v>0.4</v>
      </c>
      <c r="E10" s="50" t="n">
        <f aca="false">C10*D10</f>
        <v>360</v>
      </c>
      <c r="F10" s="53" t="n">
        <f aca="false">E10/Assumptions!$C$12</f>
        <v>0.111801242236025</v>
      </c>
      <c r="G10" s="75" t="s">
        <v>365</v>
      </c>
    </row>
    <row r="11" customFormat="false" ht="25.5" hidden="false" customHeight="true" outlineLevel="0" collapsed="false">
      <c r="B11" s="5" t="s">
        <v>366</v>
      </c>
      <c r="C11" s="25" t="n">
        <v>260</v>
      </c>
      <c r="D11" s="26" t="n">
        <v>0.5</v>
      </c>
      <c r="E11" s="50" t="n">
        <f aca="false">C11*D11</f>
        <v>130</v>
      </c>
      <c r="F11" s="53" t="n">
        <f aca="false">E11/Assumptions!$C$12</f>
        <v>0.0403726708074534</v>
      </c>
      <c r="G11" s="75" t="s">
        <v>367</v>
      </c>
    </row>
    <row r="12" customFormat="false" ht="25.5" hidden="false" customHeight="true" outlineLevel="0" collapsed="false">
      <c r="B12" s="5" t="s">
        <v>368</v>
      </c>
      <c r="C12" s="25" t="n">
        <v>320</v>
      </c>
      <c r="D12" s="26" t="n">
        <v>0.85</v>
      </c>
      <c r="E12" s="50" t="n">
        <f aca="false">C12*D12</f>
        <v>272</v>
      </c>
      <c r="F12" s="53" t="n">
        <f aca="false">E12/Assumptions!$C$12</f>
        <v>0.084472049689441</v>
      </c>
      <c r="G12" s="75" t="s">
        <v>369</v>
      </c>
    </row>
    <row r="13" customFormat="false" ht="25.5" hidden="false" customHeight="true" outlineLevel="0" collapsed="false">
      <c r="B13" s="5" t="s">
        <v>370</v>
      </c>
      <c r="C13" s="25" t="n">
        <v>180</v>
      </c>
      <c r="D13" s="26" t="n">
        <v>0.5</v>
      </c>
      <c r="E13" s="50" t="n">
        <f aca="false">C13*D13</f>
        <v>90</v>
      </c>
      <c r="F13" s="53" t="n">
        <f aca="false">E13/Assumptions!$C$12</f>
        <v>0.0279503105590062</v>
      </c>
      <c r="G13" s="75" t="s">
        <v>371</v>
      </c>
    </row>
    <row r="14" customFormat="false" ht="25.5" hidden="false" customHeight="true" outlineLevel="0" collapsed="false">
      <c r="B14" s="5" t="s">
        <v>372</v>
      </c>
      <c r="C14" s="25" t="n">
        <v>-900</v>
      </c>
      <c r="D14" s="26" t="n">
        <v>1</v>
      </c>
      <c r="E14" s="50" t="n">
        <f aca="false">C14*D14</f>
        <v>-900</v>
      </c>
      <c r="F14" s="53" t="n">
        <f aca="false">E14/Assumptions!$C$12</f>
        <v>-0.279503105590062</v>
      </c>
      <c r="G14" s="75" t="s">
        <v>373</v>
      </c>
    </row>
    <row r="15" customFormat="false" ht="15" hidden="false" customHeight="false" outlineLevel="0" collapsed="false">
      <c r="B15" s="66" t="s">
        <v>374</v>
      </c>
      <c r="E15" s="76" t="n">
        <f aca="false">SUM(E7:E14)</f>
        <v>12949.5</v>
      </c>
      <c r="F15" s="77" t="n">
        <f aca="false">E15/Assumptions!$C$12</f>
        <v>4.02158385093168</v>
      </c>
    </row>
    <row r="16" customFormat="false" ht="15" hidden="false" customHeight="false" outlineLevel="0" collapsed="false">
      <c r="B16" s="6" t="s">
        <v>317</v>
      </c>
      <c r="E16" s="50" t="n">
        <f aca="false">Assumptions!$C$21</f>
        <v>1462</v>
      </c>
      <c r="F16" s="53" t="n">
        <f aca="false">E16/Assumptions!$C$12</f>
        <v>0.454037267080745</v>
      </c>
    </row>
    <row r="17" customFormat="false" ht="15" hidden="false" customHeight="false" outlineLevel="0" collapsed="false">
      <c r="B17" s="7" t="s">
        <v>375</v>
      </c>
      <c r="E17" s="78" t="n">
        <f aca="false">E15+E16</f>
        <v>14411.5</v>
      </c>
      <c r="F17" s="79" t="n">
        <f aca="false">E17/Assumptions!$C$12</f>
        <v>4.47562111801242</v>
      </c>
    </row>
    <row r="18" customFormat="false" ht="15" hidden="false" customHeight="false" outlineLevel="0" collapsed="false">
      <c r="B18" s="5" t="s">
        <v>376</v>
      </c>
      <c r="F18" s="80" t="n">
        <f aca="false">Assumptions!$C$11/F17-1</f>
        <v>0.224411060611317</v>
      </c>
    </row>
    <row r="20" customFormat="false" ht="15" hidden="false" customHeight="false" outlineLevel="0" collapsed="false">
      <c r="B20" s="11" t="s">
        <v>377</v>
      </c>
    </row>
    <row r="21" customFormat="false" ht="15" hidden="false" customHeight="false" outlineLevel="0" collapsed="false">
      <c r="B21" s="11" t="s">
        <v>378</v>
      </c>
    </row>
    <row r="22" customFormat="false" ht="15" hidden="false" customHeight="false" outlineLevel="0" collapsed="false">
      <c r="B22" s="11" t="s">
        <v>379</v>
      </c>
    </row>
    <row r="23" customFormat="false" ht="15" hidden="false" customHeight="false" outlineLevel="0" collapsed="false">
      <c r="B23" s="11" t="s">
        <v>380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A6472"/>
    <pageSetUpPr fitToPage="false"/>
  </sheetPr>
  <dimension ref="B2:J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0"/>
    <col collapsed="false" customWidth="true" hidden="false" outlineLevel="0" max="3" min="3" style="0" width="34"/>
    <col collapsed="false" customWidth="true" hidden="false" outlineLevel="0" max="6" min="4" style="0" width="13"/>
    <col collapsed="false" customWidth="true" hidden="false" outlineLevel="0" max="8" min="7" style="0" width="12"/>
    <col collapsed="false" customWidth="true" hidden="false" outlineLevel="0" max="9" min="9" style="0" width="14"/>
    <col collapsed="false" customWidth="true" hidden="false" outlineLevel="0" max="10" min="10" style="0" width="22"/>
    <col collapsed="false" customWidth="true" hidden="false" outlineLevel="0" max="15" min="11" style="0" width="11.5"/>
  </cols>
  <sheetData>
    <row r="2" customFormat="false" ht="19.7" hidden="false" customHeight="false" outlineLevel="0" collapsed="false">
      <c r="B2" s="12" t="s">
        <v>381</v>
      </c>
    </row>
    <row r="3" customFormat="false" ht="15" hidden="false" customHeight="false" outlineLevel="0" collapsed="false">
      <c r="B3" s="13" t="s">
        <v>382</v>
      </c>
    </row>
    <row r="4" customFormat="false" ht="15" hidden="false" customHeight="false" outlineLevel="0" collapsed="false">
      <c r="B4" s="11" t="s">
        <v>64</v>
      </c>
    </row>
    <row r="6" customFormat="false" ht="15" hidden="false" customHeight="false" outlineLevel="0" collapsed="false">
      <c r="B6" s="19" t="s">
        <v>383</v>
      </c>
      <c r="C6" s="20"/>
      <c r="D6" s="20"/>
      <c r="E6" s="20"/>
      <c r="F6" s="20"/>
      <c r="G6" s="20"/>
      <c r="H6" s="20"/>
      <c r="I6" s="20"/>
      <c r="J6" s="20"/>
    </row>
    <row r="7" customFormat="false" ht="15" hidden="false" customHeight="false" outlineLevel="0" collapsed="false">
      <c r="B7" s="68" t="s">
        <v>384</v>
      </c>
      <c r="C7" s="68" t="s">
        <v>385</v>
      </c>
      <c r="D7" s="68" t="s">
        <v>386</v>
      </c>
      <c r="E7" s="68" t="s">
        <v>387</v>
      </c>
      <c r="F7" s="68" t="s">
        <v>388</v>
      </c>
      <c r="G7" s="68" t="s">
        <v>389</v>
      </c>
      <c r="H7" s="68" t="s">
        <v>390</v>
      </c>
      <c r="I7" s="68" t="s">
        <v>391</v>
      </c>
      <c r="J7" s="68" t="s">
        <v>392</v>
      </c>
    </row>
    <row r="8" customFormat="false" ht="15" hidden="false" customHeight="false" outlineLevel="0" collapsed="false">
      <c r="B8" s="5" t="s">
        <v>393</v>
      </c>
      <c r="C8" s="81" t="s">
        <v>394</v>
      </c>
      <c r="D8" s="25" t="n">
        <v>312560</v>
      </c>
      <c r="E8" s="25" t="n">
        <v>343660</v>
      </c>
      <c r="F8" s="25" t="n">
        <v>50600</v>
      </c>
      <c r="G8" s="82" t="s">
        <v>395</v>
      </c>
      <c r="H8" s="83" t="n">
        <v>17.38</v>
      </c>
      <c r="I8" s="26" t="n">
        <v>0.0431</v>
      </c>
      <c r="J8" s="8" t="s">
        <v>396</v>
      </c>
    </row>
    <row r="9" customFormat="false" ht="15" hidden="false" customHeight="false" outlineLevel="0" collapsed="false">
      <c r="B9" s="5" t="s">
        <v>397</v>
      </c>
      <c r="C9" s="81" t="s">
        <v>398</v>
      </c>
      <c r="D9" s="25" t="n">
        <v>220530</v>
      </c>
      <c r="E9" s="25" t="n">
        <v>247680</v>
      </c>
      <c r="F9" s="25" t="n">
        <v>45500</v>
      </c>
      <c r="G9" s="83" t="n">
        <v>7.84</v>
      </c>
      <c r="H9" s="83" t="n">
        <v>11.7</v>
      </c>
      <c r="I9" s="26" t="n">
        <v>0.0355</v>
      </c>
      <c r="J9" s="8" t="s">
        <v>396</v>
      </c>
    </row>
    <row r="10" customFormat="false" ht="15" hidden="false" customHeight="false" outlineLevel="0" collapsed="false">
      <c r="B10" s="5" t="s">
        <v>399</v>
      </c>
      <c r="C10" s="81" t="s">
        <v>400</v>
      </c>
      <c r="D10" s="25" t="n">
        <v>68680</v>
      </c>
      <c r="E10" s="25" t="n">
        <v>70150</v>
      </c>
      <c r="F10" s="25" t="n">
        <v>13230</v>
      </c>
      <c r="G10" s="83" t="n">
        <v>5.55</v>
      </c>
      <c r="H10" s="83" t="n">
        <v>14.72</v>
      </c>
      <c r="I10" s="26" t="n">
        <v>0.07</v>
      </c>
      <c r="J10" s="8" t="s">
        <v>401</v>
      </c>
    </row>
    <row r="11" customFormat="false" ht="15" hidden="false" customHeight="false" outlineLevel="0" collapsed="false">
      <c r="B11" s="5" t="s">
        <v>402</v>
      </c>
      <c r="C11" s="81" t="s">
        <v>403</v>
      </c>
      <c r="D11" s="25" t="n">
        <v>17190</v>
      </c>
      <c r="E11" s="25" t="n">
        <v>17150</v>
      </c>
      <c r="F11" s="25" t="n">
        <v>3790</v>
      </c>
      <c r="G11" s="83" t="n">
        <v>8.48</v>
      </c>
      <c r="H11" s="83" t="n">
        <v>18.2</v>
      </c>
      <c r="I11" s="26" t="n">
        <v>0.0249</v>
      </c>
      <c r="J11" s="8" t="s">
        <v>404</v>
      </c>
    </row>
    <row r="12" customFormat="false" ht="15" hidden="false" customHeight="false" outlineLevel="0" collapsed="false">
      <c r="B12" s="5" t="s">
        <v>405</v>
      </c>
      <c r="C12" s="81" t="s">
        <v>406</v>
      </c>
      <c r="D12" s="25" t="n">
        <v>10400</v>
      </c>
      <c r="E12" s="25" t="n">
        <v>15720</v>
      </c>
      <c r="F12" s="25" t="n">
        <v>2600</v>
      </c>
      <c r="G12" s="83" t="n">
        <v>7.82</v>
      </c>
      <c r="H12" s="83" t="n">
        <v>15.5</v>
      </c>
      <c r="I12" s="84" t="s">
        <v>395</v>
      </c>
      <c r="J12" s="8" t="s">
        <v>404</v>
      </c>
    </row>
    <row r="13" customFormat="false" ht="15" hidden="false" customHeight="false" outlineLevel="0" collapsed="false">
      <c r="B13" s="85" t="s">
        <v>407</v>
      </c>
      <c r="G13" s="86" t="n">
        <f aca="false">MEDIAN(G8:G12)</f>
        <v>7.83</v>
      </c>
      <c r="H13" s="86" t="n">
        <f aca="false">MEDIAN(H8:H12)</f>
        <v>15.5</v>
      </c>
      <c r="I13" s="35" t="n">
        <f aca="false">MEDIAN(I8:I12)</f>
        <v>0.0393</v>
      </c>
    </row>
    <row r="15" customFormat="false" ht="15" hidden="false" customHeight="false" outlineLevel="0" collapsed="false">
      <c r="B15" s="19" t="s">
        <v>408</v>
      </c>
      <c r="C15" s="20"/>
      <c r="D15" s="20"/>
      <c r="E15" s="20"/>
      <c r="F15" s="20"/>
      <c r="G15" s="20"/>
      <c r="H15" s="20"/>
      <c r="I15" s="20"/>
      <c r="J15" s="20"/>
    </row>
    <row r="16" customFormat="false" ht="15" hidden="false" customHeight="false" outlineLevel="0" collapsed="false">
      <c r="B16" s="6" t="s">
        <v>409</v>
      </c>
      <c r="D16" s="50" t="n">
        <f aca="false">'Scenario Engine'!F50</f>
        <v>1731.2975</v>
      </c>
    </row>
    <row r="17" customFormat="false" ht="15" hidden="false" customHeight="false" outlineLevel="0" collapsed="false">
      <c r="B17" s="6" t="s">
        <v>410</v>
      </c>
      <c r="D17" s="83" t="n">
        <v>8</v>
      </c>
    </row>
    <row r="18" customFormat="false" ht="15" hidden="false" customHeight="false" outlineLevel="0" collapsed="false">
      <c r="B18" s="6" t="s">
        <v>411</v>
      </c>
      <c r="D18" s="83" t="n">
        <v>11</v>
      </c>
    </row>
    <row r="19" customFormat="false" ht="15" hidden="false" customHeight="false" outlineLevel="0" collapsed="false">
      <c r="B19" s="5" t="s">
        <v>412</v>
      </c>
      <c r="D19" s="87" t="n">
        <f aca="false">(D16*D17+Assumptions!$C$21)/Assumptions!$C$12</f>
        <v>4.75539751552795</v>
      </c>
    </row>
    <row r="20" customFormat="false" ht="15" hidden="false" customHeight="false" outlineLevel="0" collapsed="false">
      <c r="B20" s="5" t="s">
        <v>413</v>
      </c>
      <c r="D20" s="87" t="n">
        <f aca="false">(D16*D18+Assumptions!$C$21)/Assumptions!$C$12</f>
        <v>6.36840760869565</v>
      </c>
    </row>
    <row r="21" customFormat="false" ht="15" hidden="false" customHeight="false" outlineLevel="0" collapsed="false">
      <c r="B21" s="85" t="s">
        <v>414</v>
      </c>
      <c r="D21" s="88" t="n">
        <f aca="false">AVERAGE(D19,D20)</f>
        <v>5.5619025621118</v>
      </c>
    </row>
    <row r="23" customFormat="false" ht="15" hidden="false" customHeight="false" outlineLevel="0" collapsed="false">
      <c r="B23" s="11" t="s">
        <v>415</v>
      </c>
    </row>
    <row r="24" customFormat="false" ht="15" hidden="false" customHeight="false" outlineLevel="0" collapsed="false">
      <c r="B24" s="11" t="s">
        <v>416</v>
      </c>
    </row>
    <row r="25" customFormat="false" ht="15" hidden="false" customHeight="false" outlineLevel="0" collapsed="false">
      <c r="B25" s="11" t="s">
        <v>417</v>
      </c>
    </row>
    <row r="26" customFormat="false" ht="15" hidden="false" customHeight="false" outlineLevel="0" collapsed="false">
      <c r="B26" s="11" t="s">
        <v>418</v>
      </c>
    </row>
    <row r="27" customFormat="false" ht="15" hidden="false" customHeight="false" outlineLevel="0" collapsed="false">
      <c r="B27" s="11" t="s">
        <v>419</v>
      </c>
    </row>
    <row r="28" customFormat="false" ht="15" hidden="false" customHeight="false" outlineLevel="0" collapsed="false">
      <c r="B28" s="11" t="s">
        <v>420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A6472"/>
    <pageSetUpPr fitToPage="false"/>
  </sheetPr>
  <dimension ref="B2:G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3"/>
    <col collapsed="false" customWidth="true" hidden="false" outlineLevel="0" max="4" min="3" style="0" width="24"/>
    <col collapsed="false" customWidth="true" hidden="false" outlineLevel="0" max="6" min="5" style="0" width="15"/>
    <col collapsed="false" customWidth="true" hidden="false" outlineLevel="0" max="7" min="7" style="0" width="62"/>
    <col collapsed="false" customWidth="true" hidden="false" outlineLevel="0" max="15" min="8" style="0" width="11.5"/>
  </cols>
  <sheetData>
    <row r="2" customFormat="false" ht="19.7" hidden="false" customHeight="false" outlineLevel="0" collapsed="false">
      <c r="B2" s="12" t="s">
        <v>421</v>
      </c>
    </row>
    <row r="3" customFormat="false" ht="15" hidden="false" customHeight="false" outlineLevel="0" collapsed="false">
      <c r="B3" s="13" t="s">
        <v>422</v>
      </c>
    </row>
    <row r="4" customFormat="false" ht="15" hidden="false" customHeight="false" outlineLevel="0" collapsed="false">
      <c r="B4" s="11" t="s">
        <v>64</v>
      </c>
    </row>
    <row r="6" customFormat="false" ht="15" hidden="false" customHeight="false" outlineLevel="0" collapsed="false">
      <c r="B6" s="68" t="s">
        <v>423</v>
      </c>
      <c r="C6" s="68" t="s">
        <v>424</v>
      </c>
      <c r="D6" s="68" t="s">
        <v>425</v>
      </c>
      <c r="E6" s="68" t="s">
        <v>426</v>
      </c>
      <c r="F6" s="68" t="s">
        <v>427</v>
      </c>
      <c r="G6" s="68" t="s">
        <v>428</v>
      </c>
    </row>
    <row r="7" customFormat="false" ht="30" hidden="false" customHeight="true" outlineLevel="0" collapsed="false">
      <c r="B7" s="8" t="s">
        <v>429</v>
      </c>
      <c r="C7" s="5" t="s">
        <v>397</v>
      </c>
      <c r="D7" s="6" t="s">
        <v>430</v>
      </c>
      <c r="E7" s="9" t="s">
        <v>431</v>
      </c>
      <c r="F7" s="8" t="s">
        <v>432</v>
      </c>
      <c r="G7" s="75" t="s">
        <v>433</v>
      </c>
    </row>
    <row r="8" customFormat="false" ht="30" hidden="false" customHeight="true" outlineLevel="0" collapsed="false">
      <c r="B8" s="8" t="s">
        <v>434</v>
      </c>
      <c r="C8" s="5" t="s">
        <v>435</v>
      </c>
      <c r="D8" s="6" t="s">
        <v>436</v>
      </c>
      <c r="E8" s="9" t="s">
        <v>437</v>
      </c>
      <c r="F8" s="8" t="s">
        <v>438</v>
      </c>
      <c r="G8" s="75" t="s">
        <v>439</v>
      </c>
    </row>
    <row r="9" customFormat="false" ht="30" hidden="false" customHeight="true" outlineLevel="0" collapsed="false">
      <c r="B9" s="8" t="s">
        <v>440</v>
      </c>
      <c r="C9" s="5" t="s">
        <v>441</v>
      </c>
      <c r="D9" s="6" t="s">
        <v>442</v>
      </c>
      <c r="E9" s="9" t="s">
        <v>443</v>
      </c>
      <c r="F9" s="8" t="s">
        <v>432</v>
      </c>
      <c r="G9" s="75" t="s">
        <v>444</v>
      </c>
    </row>
    <row r="10" customFormat="false" ht="30" hidden="false" customHeight="true" outlineLevel="0" collapsed="false">
      <c r="B10" s="8" t="s">
        <v>445</v>
      </c>
      <c r="C10" s="5" t="s">
        <v>446</v>
      </c>
      <c r="D10" s="6" t="s">
        <v>447</v>
      </c>
      <c r="E10" s="9" t="s">
        <v>448</v>
      </c>
      <c r="F10" s="8" t="s">
        <v>449</v>
      </c>
      <c r="G10" s="75" t="s">
        <v>450</v>
      </c>
    </row>
    <row r="11" customFormat="false" ht="30" hidden="false" customHeight="true" outlineLevel="0" collapsed="false">
      <c r="B11" s="8" t="s">
        <v>451</v>
      </c>
      <c r="C11" s="5" t="s">
        <v>452</v>
      </c>
      <c r="D11" s="6" t="s">
        <v>453</v>
      </c>
      <c r="E11" s="9" t="s">
        <v>454</v>
      </c>
      <c r="F11" s="8" t="s">
        <v>455</v>
      </c>
      <c r="G11" s="75" t="s">
        <v>456</v>
      </c>
    </row>
    <row r="12" customFormat="false" ht="30" hidden="false" customHeight="true" outlineLevel="0" collapsed="false">
      <c r="B12" s="8" t="s">
        <v>457</v>
      </c>
      <c r="C12" s="5" t="s">
        <v>458</v>
      </c>
      <c r="D12" s="6" t="s">
        <v>459</v>
      </c>
      <c r="E12" s="9" t="s">
        <v>460</v>
      </c>
      <c r="F12" s="8" t="s">
        <v>461</v>
      </c>
      <c r="G12" s="75" t="s">
        <v>462</v>
      </c>
    </row>
    <row r="13" customFormat="false" ht="30" hidden="false" customHeight="true" outlineLevel="0" collapsed="false">
      <c r="B13" s="8" t="s">
        <v>463</v>
      </c>
      <c r="C13" s="5" t="s">
        <v>464</v>
      </c>
      <c r="D13" s="6" t="s">
        <v>465</v>
      </c>
      <c r="E13" s="9" t="s">
        <v>466</v>
      </c>
      <c r="F13" s="8" t="s">
        <v>449</v>
      </c>
      <c r="G13" s="75" t="s">
        <v>467</v>
      </c>
    </row>
    <row r="14" customFormat="false" ht="30" hidden="false" customHeight="true" outlineLevel="0" collapsed="false">
      <c r="B14" s="8" t="s">
        <v>468</v>
      </c>
      <c r="C14" s="5" t="s">
        <v>469</v>
      </c>
      <c r="D14" s="6" t="s">
        <v>470</v>
      </c>
      <c r="E14" s="9" t="s">
        <v>471</v>
      </c>
      <c r="F14" s="8" t="s">
        <v>472</v>
      </c>
      <c r="G14" s="75" t="s">
        <v>473</v>
      </c>
    </row>
    <row r="16" customFormat="false" ht="15" hidden="false" customHeight="false" outlineLevel="0" collapsed="false">
      <c r="B16" s="19" t="s">
        <v>474</v>
      </c>
      <c r="C16" s="20"/>
      <c r="D16" s="20"/>
      <c r="E16" s="20"/>
      <c r="F16" s="20"/>
      <c r="G16" s="20"/>
    </row>
    <row r="17" customFormat="false" ht="15" hidden="false" customHeight="false" outlineLevel="0" collapsed="false">
      <c r="B17" s="6" t="s">
        <v>475</v>
      </c>
      <c r="E17" s="53" t="n">
        <f aca="false">'Scenario Engine'!$C$72</f>
        <v>6.4975771608969</v>
      </c>
    </row>
    <row r="18" customFormat="false" ht="15" hidden="false" customHeight="false" outlineLevel="0" collapsed="false">
      <c r="B18" s="6" t="s">
        <v>476</v>
      </c>
      <c r="E18" s="26" t="n">
        <v>0.266</v>
      </c>
      <c r="G18" s="11" t="s">
        <v>477</v>
      </c>
    </row>
    <row r="19" customFormat="false" ht="15" hidden="false" customHeight="false" outlineLevel="0" collapsed="false">
      <c r="B19" s="85" t="s">
        <v>478</v>
      </c>
      <c r="E19" s="88" t="n">
        <f aca="false">E17*(1+E18)</f>
        <v>8.22593268569547</v>
      </c>
    </row>
    <row r="21" customFormat="false" ht="15" hidden="false" customHeight="false" outlineLevel="0" collapsed="false">
      <c r="B21" s="11" t="s">
        <v>479</v>
      </c>
    </row>
    <row r="22" customFormat="false" ht="15" hidden="false" customHeight="false" outlineLevel="0" collapsed="false">
      <c r="B22" s="11" t="s">
        <v>480</v>
      </c>
    </row>
    <row r="23" customFormat="false" ht="15" hidden="false" customHeight="false" outlineLevel="0" collapsed="false">
      <c r="B23" s="11" t="s">
        <v>481</v>
      </c>
    </row>
    <row r="24" customFormat="false" ht="15" hidden="false" customHeight="false" outlineLevel="0" collapsed="false">
      <c r="B24" s="11" t="s">
        <v>482</v>
      </c>
    </row>
    <row r="25" customFormat="false" ht="15" hidden="false" customHeight="false" outlineLevel="0" collapsed="false">
      <c r="B25" s="11" t="s">
        <v>483</v>
      </c>
    </row>
    <row r="26" customFormat="false" ht="15" hidden="false" customHeight="false" outlineLevel="0" collapsed="false">
      <c r="B26" s="11" t="s">
        <v>484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FBF3F"/>
    <pageSetUpPr fitToPage="false"/>
  </sheetPr>
  <dimension ref="B2:G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8"/>
    <col collapsed="false" customWidth="true" hidden="false" outlineLevel="0" max="5" min="3" style="0" width="14"/>
    <col collapsed="false" customWidth="true" hidden="false" outlineLevel="0" max="6" min="6" style="0" width="12"/>
    <col collapsed="false" customWidth="true" hidden="false" outlineLevel="0" max="7" min="7" style="0" width="58"/>
    <col collapsed="false" customWidth="true" hidden="false" outlineLevel="0" max="15" min="8" style="0" width="11.5"/>
  </cols>
  <sheetData>
    <row r="2" customFormat="false" ht="19.7" hidden="false" customHeight="false" outlineLevel="0" collapsed="false">
      <c r="B2" s="12" t="s">
        <v>485</v>
      </c>
    </row>
    <row r="3" customFormat="false" ht="15" hidden="false" customHeight="false" outlineLevel="0" collapsed="false">
      <c r="B3" s="13" t="s">
        <v>486</v>
      </c>
    </row>
    <row r="4" customFormat="false" ht="15" hidden="false" customHeight="false" outlineLevel="0" collapsed="false">
      <c r="B4" s="11" t="s">
        <v>64</v>
      </c>
    </row>
    <row r="6" customFormat="false" ht="15" hidden="false" customHeight="false" outlineLevel="0" collapsed="false">
      <c r="B6" s="68" t="s">
        <v>487</v>
      </c>
      <c r="C6" s="68" t="s">
        <v>488</v>
      </c>
      <c r="D6" s="68" t="s">
        <v>489</v>
      </c>
      <c r="E6" s="68" t="s">
        <v>490</v>
      </c>
      <c r="F6" s="68" t="s">
        <v>491</v>
      </c>
      <c r="G6" s="68" t="s">
        <v>357</v>
      </c>
    </row>
    <row r="7" customFormat="false" ht="25.5" hidden="false" customHeight="true" outlineLevel="0" collapsed="false">
      <c r="B7" s="5" t="s">
        <v>492</v>
      </c>
      <c r="C7" s="53" t="n">
        <f aca="false">'Scenario Engine'!$C$72</f>
        <v>6.4975771608969</v>
      </c>
      <c r="D7" s="53" t="n">
        <f aca="false">'Scenario Engine'!$C$72</f>
        <v>6.4975771608969</v>
      </c>
      <c r="E7" s="87" t="n">
        <f aca="false">AVERAGE(C7:D7)</f>
        <v>6.4975771608969</v>
      </c>
      <c r="F7" s="26" t="n">
        <v>0.6</v>
      </c>
      <c r="G7" s="75" t="s">
        <v>493</v>
      </c>
    </row>
    <row r="8" customFormat="false" ht="25.5" hidden="false" customHeight="true" outlineLevel="0" collapsed="false">
      <c r="B8" s="5" t="s">
        <v>494</v>
      </c>
      <c r="C8" s="53" t="n">
        <f aca="false">'Scenario Summary'!$F$10</f>
        <v>6.04855352306593</v>
      </c>
      <c r="D8" s="53" t="n">
        <f aca="false">'Scenario Summary'!$F$10</f>
        <v>6.04855352306593</v>
      </c>
      <c r="E8" s="87" t="n">
        <f aca="false">AVERAGE(C8:D8)</f>
        <v>6.04855352306593</v>
      </c>
      <c r="F8" s="26" t="n">
        <v>0</v>
      </c>
      <c r="G8" s="75" t="s">
        <v>495</v>
      </c>
    </row>
    <row r="9" customFormat="false" ht="25.5" hidden="false" customHeight="true" outlineLevel="0" collapsed="false">
      <c r="B9" s="5" t="s">
        <v>496</v>
      </c>
      <c r="C9" s="53" t="n">
        <f aca="false">'Scenario Engine'!$C$37</f>
        <v>2.26471244820927</v>
      </c>
      <c r="D9" s="53" t="n">
        <f aca="false">'Scenario Engine'!$C$107</f>
        <v>8.93434732226067</v>
      </c>
      <c r="E9" s="87" t="n">
        <f aca="false">AVERAGE(C9:D9)</f>
        <v>5.59952988523497</v>
      </c>
      <c r="F9" s="26" t="n">
        <v>0</v>
      </c>
      <c r="G9" s="75" t="s">
        <v>497</v>
      </c>
    </row>
    <row r="10" customFormat="false" ht="25.5" hidden="false" customHeight="true" outlineLevel="0" collapsed="false">
      <c r="B10" s="5" t="s">
        <v>381</v>
      </c>
      <c r="C10" s="53" t="n">
        <f aca="false">'Trading Comps'!$D$19</f>
        <v>4.75539751552795</v>
      </c>
      <c r="D10" s="53" t="n">
        <f aca="false">'Trading Comps'!$D$20</f>
        <v>6.36840760869565</v>
      </c>
      <c r="E10" s="87" t="n">
        <f aca="false">AVERAGE(C10:D10)</f>
        <v>5.5619025621118</v>
      </c>
      <c r="F10" s="26" t="n">
        <v>0.4</v>
      </c>
      <c r="G10" s="75" t="s">
        <v>498</v>
      </c>
    </row>
    <row r="11" customFormat="false" ht="25.5" hidden="false" customHeight="true" outlineLevel="0" collapsed="false">
      <c r="B11" s="5" t="s">
        <v>421</v>
      </c>
      <c r="C11" s="53" t="n">
        <f aca="false">'Scenario Engine'!$C$72</f>
        <v>6.4975771608969</v>
      </c>
      <c r="D11" s="53" t="n">
        <f aca="false">Precedents!$E$19</f>
        <v>8.22593268569547</v>
      </c>
      <c r="E11" s="87" t="n">
        <f aca="false">AVERAGE(C11:D11)</f>
        <v>7.36175492329619</v>
      </c>
      <c r="F11" s="26" t="n">
        <v>0</v>
      </c>
      <c r="G11" s="75" t="s">
        <v>499</v>
      </c>
    </row>
    <row r="12" customFormat="false" ht="25.5" hidden="false" customHeight="true" outlineLevel="0" collapsed="false">
      <c r="B12" s="5" t="s">
        <v>500</v>
      </c>
      <c r="C12" s="21" t="n">
        <v>2.5</v>
      </c>
      <c r="D12" s="21" t="n">
        <v>6.83</v>
      </c>
      <c r="E12" s="87" t="n">
        <f aca="false">AVERAGE(C12:D12)</f>
        <v>4.665</v>
      </c>
      <c r="F12" s="26" t="n">
        <v>0</v>
      </c>
      <c r="G12" s="75" t="s">
        <v>501</v>
      </c>
    </row>
    <row r="13" customFormat="false" ht="25.5" hidden="false" customHeight="true" outlineLevel="0" collapsed="false">
      <c r="B13" s="5" t="s">
        <v>502</v>
      </c>
      <c r="C13" s="21" t="n">
        <v>1.91</v>
      </c>
      <c r="D13" s="21" t="n">
        <v>6.81</v>
      </c>
      <c r="E13" s="87" t="n">
        <f aca="false">AVERAGE(C13:D13)</f>
        <v>4.36</v>
      </c>
      <c r="F13" s="26" t="n">
        <v>0</v>
      </c>
      <c r="G13" s="75" t="s">
        <v>503</v>
      </c>
    </row>
    <row r="14" customFormat="false" ht="15" hidden="false" customHeight="false" outlineLevel="0" collapsed="false">
      <c r="B14" s="5" t="s">
        <v>504</v>
      </c>
      <c r="F14" s="35" t="n">
        <f aca="false">SUM(F7:F13)</f>
        <v>1</v>
      </c>
    </row>
    <row r="16" customFormat="false" ht="17.35" hidden="false" customHeight="false" outlineLevel="0" collapsed="false">
      <c r="B16" s="89" t="s">
        <v>505</v>
      </c>
      <c r="C16" s="90" t="n">
        <f aca="false">SUMPRODUCT(E7:E13,F7:F13)/SUM(F7:F13)</f>
        <v>6.12330732138286</v>
      </c>
    </row>
    <row r="17" customFormat="false" ht="15" hidden="false" customHeight="false" outlineLevel="0" collapsed="false">
      <c r="B17" s="6" t="s">
        <v>298</v>
      </c>
      <c r="C17" s="53" t="n">
        <f aca="false">Assumptions!$C$11</f>
        <v>5.48</v>
      </c>
    </row>
    <row r="18" customFormat="false" ht="16.15" hidden="false" customHeight="false" outlineLevel="0" collapsed="false">
      <c r="B18" s="7" t="s">
        <v>299</v>
      </c>
      <c r="C18" s="91" t="n">
        <f aca="false">C16/C17-1</f>
        <v>0.117391846967675</v>
      </c>
    </row>
    <row r="19" customFormat="false" ht="15" hidden="false" customHeight="false" outlineLevel="0" collapsed="false">
      <c r="B19" s="6" t="s">
        <v>506</v>
      </c>
      <c r="C19" s="24" t="n">
        <f aca="false">'Income Statement'!F25</f>
        <v>0.0166988356870835</v>
      </c>
    </row>
    <row r="20" customFormat="false" ht="15" hidden="false" customHeight="false" outlineLevel="0" collapsed="false">
      <c r="B20" s="66" t="s">
        <v>507</v>
      </c>
      <c r="C20" s="92" t="n">
        <f aca="false">C18+C19</f>
        <v>0.134090682654759</v>
      </c>
    </row>
    <row r="21" customFormat="false" ht="15" hidden="false" customHeight="false" outlineLevel="0" collapsed="false">
      <c r="B21" s="6" t="s">
        <v>508</v>
      </c>
      <c r="C21" s="24" t="n">
        <f aca="false">Assumptions!$C$58</f>
        <v>0.059</v>
      </c>
    </row>
    <row r="22" customFormat="false" ht="15" hidden="false" customHeight="false" outlineLevel="0" collapsed="false">
      <c r="B22" s="66" t="s">
        <v>509</v>
      </c>
      <c r="C22" s="92" t="n">
        <f aca="false">C20-C21</f>
        <v>0.0750906826547586</v>
      </c>
    </row>
    <row r="24" customFormat="false" ht="15" hidden="false" customHeight="false" outlineLevel="0" collapsed="false">
      <c r="B24" s="11" t="s">
        <v>510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E7C7B"/>
    <pageSetUpPr fitToPage="false"/>
  </sheetPr>
  <dimension ref="B2:O4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8"/>
    <col collapsed="false" customWidth="true" hidden="false" outlineLevel="0" max="3" min="3" style="0" width="52"/>
    <col collapsed="false" customWidth="true" hidden="false" outlineLevel="0" max="7" min="4" style="0" width="13"/>
    <col collapsed="false" customWidth="true" hidden="false" outlineLevel="0" max="8" min="8" style="0" width="48"/>
    <col collapsed="false" customWidth="true" hidden="false" outlineLevel="0" max="15" min="9" style="0" width="11.5"/>
  </cols>
  <sheetData>
    <row r="2" customFormat="false" ht="19.7" hidden="false" customHeight="false" outlineLevel="0" collapsed="false">
      <c r="B2" s="12" t="s">
        <v>511</v>
      </c>
    </row>
    <row r="3" customFormat="false" ht="15" hidden="false" customHeight="false" outlineLevel="0" collapsed="false">
      <c r="B3" s="13" t="s">
        <v>512</v>
      </c>
    </row>
    <row r="4" customFormat="false" ht="15" hidden="false" customHeight="false" outlineLevel="0" collapsed="false">
      <c r="B4" s="11" t="s">
        <v>64</v>
      </c>
    </row>
    <row r="6" customFormat="false" ht="15" hidden="false" customHeight="false" outlineLevel="0" collapsed="false">
      <c r="B6" s="66" t="s">
        <v>513</v>
      </c>
    </row>
    <row r="7" customFormat="false" ht="15" hidden="false" customHeight="false" outlineLevel="0" collapsed="false">
      <c r="B7" s="6" t="s">
        <v>514</v>
      </c>
      <c r="F7" s="46" t="n">
        <f aca="false">'Scenario Engine'!F42</f>
        <v>1065</v>
      </c>
      <c r="G7" s="46" t="n">
        <f aca="false">'Scenario Engine'!G42</f>
        <v>1115</v>
      </c>
      <c r="H7" s="46" t="n">
        <f aca="false">'Scenario Engine'!H42</f>
        <v>1115</v>
      </c>
      <c r="I7" s="46" t="n">
        <f aca="false">'Scenario Engine'!I42</f>
        <v>1365</v>
      </c>
      <c r="J7" s="46" t="n">
        <f aca="false">'Scenario Engine'!J42</f>
        <v>1665</v>
      </c>
      <c r="K7" s="46" t="n">
        <f aca="false">'Scenario Engine'!K42</f>
        <v>2065</v>
      </c>
      <c r="L7" s="46" t="n">
        <f aca="false">'Scenario Engine'!L42</f>
        <v>2350</v>
      </c>
      <c r="M7" s="46" t="n">
        <f aca="false">'Scenario Engine'!M42</f>
        <v>2460</v>
      </c>
      <c r="N7" s="46" t="n">
        <f aca="false">'Scenario Engine'!N42</f>
        <v>2500</v>
      </c>
      <c r="O7" s="46" t="n">
        <f aca="false">'Scenario Engine'!O42</f>
        <v>2500</v>
      </c>
    </row>
    <row r="8" customFormat="false" ht="15" hidden="false" customHeight="false" outlineLevel="0" collapsed="false">
      <c r="B8" s="6" t="s">
        <v>341</v>
      </c>
      <c r="F8" s="49" t="n">
        <f aca="false">'Scenario Engine'!F58</f>
        <v>0.958356165276277</v>
      </c>
      <c r="G8" s="49" t="n">
        <f aca="false">'Scenario Engine'!G58</f>
        <v>0.880198903628577</v>
      </c>
      <c r="H8" s="49" t="n">
        <f aca="false">'Scenario Engine'!H58</f>
        <v>0.80841563712965</v>
      </c>
      <c r="I8" s="49" t="n">
        <f aca="false">'Scenario Engine'!I58</f>
        <v>0.74248654441805</v>
      </c>
      <c r="J8" s="49" t="n">
        <f aca="false">'Scenario Engine'!J58</f>
        <v>0.681934197363186</v>
      </c>
      <c r="K8" s="49" t="n">
        <f aca="false">'Scenario Engine'!K58</f>
        <v>0.626320103750647</v>
      </c>
      <c r="L8" s="49" t="n">
        <f aca="false">'Scenario Engine'!L58</f>
        <v>0.5752415319235</v>
      </c>
      <c r="M8" s="49" t="n">
        <f aca="false">'Scenario Engine'!M58</f>
        <v>0.528328594385077</v>
      </c>
      <c r="N8" s="49" t="n">
        <f aca="false">'Scenario Engine'!N58</f>
        <v>0.485241569244051</v>
      </c>
      <c r="O8" s="49" t="n">
        <f aca="false">'Scenario Engine'!O58</f>
        <v>0.445668440104934</v>
      </c>
    </row>
    <row r="9" customFormat="false" ht="15" hidden="false" customHeight="false" outlineLevel="0" collapsed="false">
      <c r="B9" s="6" t="s">
        <v>515</v>
      </c>
      <c r="F9" s="93" t="n">
        <f aca="false">F7/1000*(1-Assumptions!$C$31)*F8</f>
        <v>0.714454521213464</v>
      </c>
      <c r="G9" s="93" t="n">
        <f aca="false">G7/1000*(1-Assumptions!$C$31)*G8</f>
        <v>0.686995244282105</v>
      </c>
      <c r="H9" s="93" t="n">
        <f aca="false">H7/1000*(1-Assumptions!$C$31)*H8</f>
        <v>0.630968404779692</v>
      </c>
      <c r="I9" s="93" t="n">
        <f aca="false">I7/1000*(1-Assumptions!$C$31)*I8</f>
        <v>0.709445893191446</v>
      </c>
      <c r="J9" s="93" t="n">
        <f aca="false">J7/1000*(1-Assumptions!$C$31)*J8</f>
        <v>0.794794307026793</v>
      </c>
      <c r="K9" s="93" t="n">
        <f aca="false">K7/1000*(1-Assumptions!$C$31)*K8</f>
        <v>0.90534570997156</v>
      </c>
      <c r="L9" s="93" t="n">
        <f aca="false">L7/1000*(1-Assumptions!$C$31)*L8</f>
        <v>0.946272320014157</v>
      </c>
      <c r="M9" s="93" t="n">
        <f aca="false">M7/1000*(1-Assumptions!$C$31)*M8</f>
        <v>0.909781839531102</v>
      </c>
      <c r="N9" s="93" t="n">
        <f aca="false">N7/1000*(1-Assumptions!$C$31)*N8</f>
        <v>0.84917274617709</v>
      </c>
      <c r="O9" s="93" t="n">
        <f aca="false">O7/1000*(1-Assumptions!$C$31)*O8</f>
        <v>0.779919770183634</v>
      </c>
    </row>
    <row r="11" customFormat="false" ht="15" hidden="false" customHeight="false" outlineLevel="0" collapsed="false">
      <c r="B11" s="5" t="s">
        <v>516</v>
      </c>
      <c r="D11" s="94" t="n">
        <f aca="false">SUM(F9:O9)+O9*(1+Assumptions!$C$36)/(Assumptions!$C$33-Assumptions!$C$36)</f>
        <v>20.4581918166144</v>
      </c>
    </row>
    <row r="13" customFormat="false" ht="18" hidden="false" customHeight="true" outlineLevel="0" collapsed="false">
      <c r="B13" s="95" t="s">
        <v>517</v>
      </c>
      <c r="C13" s="95" t="s">
        <v>518</v>
      </c>
      <c r="D13" s="38" t="s">
        <v>519</v>
      </c>
      <c r="E13" s="38" t="s">
        <v>204</v>
      </c>
      <c r="F13" s="38" t="s">
        <v>520</v>
      </c>
      <c r="G13" s="38" t="s">
        <v>521</v>
      </c>
      <c r="H13" s="38" t="s">
        <v>522</v>
      </c>
    </row>
    <row r="14" customFormat="false" ht="39.75" hidden="false" customHeight="true" outlineLevel="0" collapsed="false">
      <c r="B14" s="9" t="s">
        <v>523</v>
      </c>
      <c r="C14" s="75" t="s">
        <v>524</v>
      </c>
      <c r="D14" s="25" t="n">
        <v>30</v>
      </c>
      <c r="E14" s="50" t="n">
        <f aca="false">D14*$D$11</f>
        <v>613.745754498432</v>
      </c>
      <c r="F14" s="87" t="n">
        <f aca="false">E14/Assumptions!$C$12</f>
        <v>0.190604271583364</v>
      </c>
      <c r="G14" s="96" t="s">
        <v>525</v>
      </c>
      <c r="H14" s="75" t="s">
        <v>526</v>
      </c>
    </row>
    <row r="15" customFormat="false" ht="39.75" hidden="false" customHeight="true" outlineLevel="0" collapsed="false">
      <c r="B15" s="9" t="s">
        <v>527</v>
      </c>
      <c r="C15" s="75" t="s">
        <v>528</v>
      </c>
      <c r="D15" s="25" t="n">
        <v>18</v>
      </c>
      <c r="E15" s="50" t="n">
        <f aca="false">D15*$D$11</f>
        <v>368.247452699059</v>
      </c>
      <c r="F15" s="87" t="n">
        <f aca="false">E15/Assumptions!$C$12</f>
        <v>0.114362562950018</v>
      </c>
      <c r="G15" s="97" t="s">
        <v>529</v>
      </c>
      <c r="H15" s="75" t="s">
        <v>530</v>
      </c>
    </row>
    <row r="16" customFormat="false" ht="39.75" hidden="false" customHeight="true" outlineLevel="0" collapsed="false">
      <c r="B16" s="9" t="s">
        <v>531</v>
      </c>
      <c r="C16" s="75" t="s">
        <v>532</v>
      </c>
      <c r="D16" s="98" t="s">
        <v>533</v>
      </c>
      <c r="E16" s="11" t="s">
        <v>534</v>
      </c>
      <c r="F16" s="98" t="s">
        <v>533</v>
      </c>
      <c r="G16" s="97" t="s">
        <v>529</v>
      </c>
      <c r="H16" s="75" t="s">
        <v>535</v>
      </c>
    </row>
    <row r="17" customFormat="false" ht="39.75" hidden="false" customHeight="true" outlineLevel="0" collapsed="false">
      <c r="B17" s="9" t="s">
        <v>536</v>
      </c>
      <c r="C17" s="75" t="s">
        <v>537</v>
      </c>
      <c r="D17" s="98" t="s">
        <v>533</v>
      </c>
      <c r="E17" s="11" t="s">
        <v>534</v>
      </c>
      <c r="F17" s="98" t="s">
        <v>533</v>
      </c>
      <c r="G17" s="97" t="s">
        <v>529</v>
      </c>
      <c r="H17" s="75" t="s">
        <v>538</v>
      </c>
    </row>
    <row r="18" customFormat="false" ht="39.75" hidden="false" customHeight="true" outlineLevel="0" collapsed="false">
      <c r="B18" s="9" t="s">
        <v>539</v>
      </c>
      <c r="C18" s="75" t="s">
        <v>540</v>
      </c>
      <c r="D18" s="98" t="s">
        <v>533</v>
      </c>
      <c r="E18" s="11" t="s">
        <v>534</v>
      </c>
      <c r="F18" s="98" t="s">
        <v>533</v>
      </c>
      <c r="G18" s="99" t="s">
        <v>541</v>
      </c>
      <c r="H18" s="75" t="s">
        <v>542</v>
      </c>
    </row>
    <row r="19" customFormat="false" ht="15" hidden="false" customHeight="false" outlineLevel="0" collapsed="false">
      <c r="B19" s="66" t="s">
        <v>543</v>
      </c>
      <c r="D19" s="76" t="n">
        <f aca="false">SUM(D14:D18)</f>
        <v>48</v>
      </c>
      <c r="E19" s="76" t="n">
        <f aca="false">SUM(E14:E18)</f>
        <v>981.993207197491</v>
      </c>
      <c r="F19" s="100" t="n">
        <f aca="false">SUM(F14:F18)</f>
        <v>0.304966834533382</v>
      </c>
    </row>
    <row r="21" customFormat="false" ht="15" hidden="false" customHeight="false" outlineLevel="0" collapsed="false">
      <c r="B21" s="19" t="s">
        <v>544</v>
      </c>
      <c r="C21" s="20"/>
      <c r="D21" s="20"/>
      <c r="E21" s="20"/>
      <c r="F21" s="20"/>
      <c r="G21" s="20"/>
      <c r="H21" s="20"/>
    </row>
    <row r="22" customFormat="false" ht="15" hidden="false" customHeight="false" outlineLevel="0" collapsed="false">
      <c r="B22" s="6" t="s">
        <v>545</v>
      </c>
      <c r="D22" s="25" t="n">
        <v>2600</v>
      </c>
      <c r="H22" s="11" t="s">
        <v>546</v>
      </c>
    </row>
    <row r="23" customFormat="false" ht="15" hidden="false" customHeight="false" outlineLevel="0" collapsed="false">
      <c r="B23" s="6" t="s">
        <v>547</v>
      </c>
      <c r="D23" s="36" t="n">
        <v>2</v>
      </c>
      <c r="H23" s="11" t="s">
        <v>548</v>
      </c>
    </row>
    <row r="24" customFormat="false" ht="15" hidden="false" customHeight="false" outlineLevel="0" collapsed="false">
      <c r="B24" s="5" t="s">
        <v>549</v>
      </c>
      <c r="D24" s="23" t="n">
        <f aca="false">D22*(1-1/(1+Assumptions!$C$33)^D23)</f>
        <v>406.785480499146</v>
      </c>
    </row>
    <row r="25" customFormat="false" ht="15" hidden="false" customHeight="false" outlineLevel="0" collapsed="false">
      <c r="B25" s="5" t="s">
        <v>550</v>
      </c>
      <c r="D25" s="59" t="n">
        <f aca="false">D24/Assumptions!$C$12</f>
        <v>0.126330894564952</v>
      </c>
    </row>
    <row r="27" customFormat="false" ht="15" hidden="false" customHeight="false" outlineLevel="0" collapsed="false">
      <c r="B27" s="19" t="s">
        <v>551</v>
      </c>
      <c r="C27" s="20"/>
      <c r="D27" s="20"/>
      <c r="E27" s="20"/>
      <c r="F27" s="20"/>
      <c r="G27" s="20"/>
      <c r="H27" s="20"/>
    </row>
    <row r="28" customFormat="false" ht="15" hidden="false" customHeight="false" outlineLevel="0" collapsed="false">
      <c r="B28" s="6" t="s">
        <v>552</v>
      </c>
      <c r="D28" s="53" t="n">
        <f aca="false">F19</f>
        <v>0.304966834533382</v>
      </c>
    </row>
    <row r="29" customFormat="false" ht="15" hidden="false" customHeight="false" outlineLevel="0" collapsed="false">
      <c r="B29" s="6" t="s">
        <v>553</v>
      </c>
      <c r="D29" s="53" t="n">
        <f aca="false">D25</f>
        <v>0.126330894564952</v>
      </c>
    </row>
    <row r="30" customFormat="false" ht="15" hidden="false" customHeight="false" outlineLevel="0" collapsed="false">
      <c r="B30" s="66" t="s">
        <v>554</v>
      </c>
      <c r="D30" s="101" t="n">
        <f aca="false">D28+D29</f>
        <v>0.431297729098335</v>
      </c>
    </row>
    <row r="31" customFormat="false" ht="15" hidden="false" customHeight="false" outlineLevel="0" collapsed="false">
      <c r="B31" s="6" t="s">
        <v>475</v>
      </c>
      <c r="D31" s="53" t="n">
        <f aca="false">'Scenario Engine'!$C$72</f>
        <v>6.4975771608969</v>
      </c>
    </row>
    <row r="32" customFormat="false" ht="15" hidden="false" customHeight="false" outlineLevel="0" collapsed="false">
      <c r="B32" s="5" t="s">
        <v>555</v>
      </c>
      <c r="D32" s="80" t="n">
        <f aca="false">D30/D31</f>
        <v>0.0663782389063311</v>
      </c>
    </row>
    <row r="34" customFormat="false" ht="15" hidden="false" customHeight="false" outlineLevel="0" collapsed="false">
      <c r="B34" s="102" t="s">
        <v>556</v>
      </c>
    </row>
    <row r="35" customFormat="false" ht="15" hidden="false" customHeight="false" outlineLevel="0" collapsed="false">
      <c r="B35" s="11" t="s">
        <v>557</v>
      </c>
    </row>
    <row r="36" customFormat="false" ht="15" hidden="false" customHeight="false" outlineLevel="0" collapsed="false">
      <c r="B36" s="11" t="s">
        <v>558</v>
      </c>
    </row>
    <row r="37" customFormat="false" ht="15" hidden="false" customHeight="false" outlineLevel="0" collapsed="false">
      <c r="B37" s="11" t="s">
        <v>559</v>
      </c>
    </row>
    <row r="38" customFormat="false" ht="15" hidden="false" customHeight="false" outlineLevel="0" collapsed="false">
      <c r="B38" s="11" t="s">
        <v>560</v>
      </c>
    </row>
    <row r="39" customFormat="false" ht="15" hidden="false" customHeight="false" outlineLevel="0" collapsed="false">
      <c r="B39" s="11" t="s">
        <v>561</v>
      </c>
    </row>
    <row r="40" customFormat="false" ht="15" hidden="false" customHeight="false" outlineLevel="0" collapsed="false">
      <c r="B40" s="11" t="s">
        <v>562</v>
      </c>
    </row>
    <row r="41" customFormat="false" ht="15" hidden="false" customHeight="false" outlineLevel="0" collapsed="false">
      <c r="B41" s="11"/>
    </row>
    <row r="42" customFormat="false" ht="15" hidden="false" customHeight="false" outlineLevel="0" collapsed="false">
      <c r="B42" s="11"/>
    </row>
    <row r="43" customFormat="false" ht="15" hidden="false" customHeight="false" outlineLevel="0" collapsed="false">
      <c r="B43" s="11" t="s">
        <v>563</v>
      </c>
    </row>
    <row r="44" customFormat="false" ht="15" hidden="false" customHeight="false" outlineLevel="0" collapsed="false">
      <c r="B44" s="11" t="s">
        <v>564</v>
      </c>
    </row>
    <row r="45" customFormat="false" ht="15" hidden="false" customHeight="false" outlineLevel="0" collapsed="false">
      <c r="B45" s="11" t="s">
        <v>565</v>
      </c>
    </row>
    <row r="46" customFormat="false" ht="15" hidden="false" customHeight="false" outlineLevel="0" collapsed="false">
      <c r="B46" s="11" t="s">
        <v>566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E7C7B"/>
    <pageSetUpPr fitToPage="false"/>
  </sheetPr>
  <dimension ref="B2:H3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4"/>
    <col collapsed="false" customWidth="true" hidden="false" outlineLevel="0" max="5" min="3" style="0" width="13"/>
    <col collapsed="false" customWidth="true" hidden="false" outlineLevel="0" max="6" min="6" style="0" width="11"/>
    <col collapsed="false" customWidth="true" hidden="false" outlineLevel="0" max="7" min="7" style="0" width="12"/>
    <col collapsed="false" customWidth="true" hidden="false" outlineLevel="0" max="8" min="8" style="0" width="54"/>
    <col collapsed="false" customWidth="true" hidden="false" outlineLevel="0" max="15" min="9" style="0" width="11.5"/>
  </cols>
  <sheetData>
    <row r="2" customFormat="false" ht="19.7" hidden="false" customHeight="false" outlineLevel="0" collapsed="false">
      <c r="B2" s="12" t="s">
        <v>567</v>
      </c>
    </row>
    <row r="3" customFormat="false" ht="15" hidden="false" customHeight="false" outlineLevel="0" collapsed="false">
      <c r="B3" s="13" t="s">
        <v>568</v>
      </c>
    </row>
    <row r="4" customFormat="false" ht="15" hidden="false" customHeight="false" outlineLevel="0" collapsed="false">
      <c r="B4" s="11" t="s">
        <v>64</v>
      </c>
    </row>
    <row r="6" customFormat="false" ht="15" hidden="false" customHeight="false" outlineLevel="0" collapsed="false">
      <c r="B6" s="13" t="s">
        <v>569</v>
      </c>
    </row>
    <row r="7" customFormat="false" ht="15" hidden="false" customHeight="false" outlineLevel="0" collapsed="false">
      <c r="B7" s="13" t="s">
        <v>570</v>
      </c>
    </row>
    <row r="8" customFormat="false" ht="15" hidden="false" customHeight="false" outlineLevel="0" collapsed="false">
      <c r="B8" s="13" t="s">
        <v>571</v>
      </c>
    </row>
    <row r="9" customFormat="false" ht="15" hidden="false" customHeight="false" outlineLevel="0" collapsed="false">
      <c r="B9" s="13" t="s">
        <v>572</v>
      </c>
    </row>
    <row r="11" customFormat="false" ht="15" hidden="false" customHeight="false" outlineLevel="0" collapsed="false">
      <c r="B11" s="68" t="s">
        <v>517</v>
      </c>
      <c r="C11" s="68" t="s">
        <v>573</v>
      </c>
      <c r="D11" s="68" t="s">
        <v>574</v>
      </c>
      <c r="E11" s="68" t="s">
        <v>575</v>
      </c>
      <c r="F11" s="68" t="s">
        <v>576</v>
      </c>
      <c r="G11" s="68" t="s">
        <v>577</v>
      </c>
      <c r="H11" s="68" t="s">
        <v>357</v>
      </c>
    </row>
    <row r="12" customFormat="false" ht="33.75" hidden="false" customHeight="true" outlineLevel="0" collapsed="false">
      <c r="B12" s="9" t="s">
        <v>578</v>
      </c>
      <c r="C12" s="22" t="n">
        <v>400</v>
      </c>
      <c r="D12" s="25" t="n">
        <v>480</v>
      </c>
      <c r="E12" s="50" t="n">
        <f aca="false">C12*D12/1000</f>
        <v>192</v>
      </c>
      <c r="F12" s="83" t="n">
        <v>8</v>
      </c>
      <c r="G12" s="23" t="n">
        <f aca="false">E12*F12</f>
        <v>1536</v>
      </c>
      <c r="H12" s="75" t="s">
        <v>579</v>
      </c>
    </row>
    <row r="13" customFormat="false" ht="33.75" hidden="false" customHeight="true" outlineLevel="0" collapsed="false">
      <c r="B13" s="9" t="s">
        <v>580</v>
      </c>
      <c r="C13" s="32" t="n">
        <v>43</v>
      </c>
      <c r="D13" s="25" t="n">
        <v>4200</v>
      </c>
      <c r="E13" s="50" t="n">
        <f aca="false">C13*D13/1000*0.18</f>
        <v>32.508</v>
      </c>
      <c r="F13" s="83" t="n">
        <v>8</v>
      </c>
      <c r="G13" s="23" t="n">
        <f aca="false">E13*F13</f>
        <v>260.064</v>
      </c>
      <c r="H13" s="75" t="s">
        <v>581</v>
      </c>
    </row>
    <row r="14" customFormat="false" ht="33.75" hidden="false" customHeight="true" outlineLevel="0" collapsed="false">
      <c r="B14" s="9" t="s">
        <v>582</v>
      </c>
      <c r="C14" s="22" t="n">
        <v>1000</v>
      </c>
      <c r="D14" s="25" t="n">
        <v>75</v>
      </c>
      <c r="E14" s="50" t="n">
        <f aca="false">C14*D14/1000</f>
        <v>75</v>
      </c>
      <c r="F14" s="83" t="n">
        <v>8</v>
      </c>
      <c r="G14" s="23" t="n">
        <f aca="false">E14*F14</f>
        <v>600</v>
      </c>
      <c r="H14" s="75" t="s">
        <v>583</v>
      </c>
    </row>
    <row r="15" customFormat="false" ht="15" hidden="false" customHeight="false" outlineLevel="0" collapsed="false">
      <c r="B15" s="66" t="s">
        <v>584</v>
      </c>
      <c r="E15" s="76" t="n">
        <f aca="false">SUM(E12:E14)</f>
        <v>299.508</v>
      </c>
      <c r="G15" s="76" t="n">
        <f aca="false">SUM(G12:G14)</f>
        <v>2396.064</v>
      </c>
    </row>
    <row r="17" customFormat="false" ht="15" hidden="false" customHeight="false" outlineLevel="0" collapsed="false">
      <c r="B17" s="19" t="s">
        <v>585</v>
      </c>
      <c r="C17" s="20"/>
      <c r="D17" s="20"/>
      <c r="E17" s="20"/>
      <c r="F17" s="20"/>
      <c r="G17" s="20"/>
      <c r="H17" s="20"/>
    </row>
    <row r="18" customFormat="false" ht="15" hidden="false" customHeight="false" outlineLevel="0" collapsed="false">
      <c r="B18" s="68" t="s">
        <v>517</v>
      </c>
      <c r="C18" s="68" t="s">
        <v>577</v>
      </c>
      <c r="D18" s="68" t="s">
        <v>586</v>
      </c>
      <c r="E18" s="68" t="s">
        <v>355</v>
      </c>
      <c r="F18" s="68" t="s">
        <v>356</v>
      </c>
    </row>
    <row r="19" customFormat="false" ht="30" hidden="false" customHeight="true" outlineLevel="0" collapsed="false">
      <c r="B19" s="5" t="s">
        <v>578</v>
      </c>
      <c r="C19" s="50" t="n">
        <f aca="false">G12</f>
        <v>1536</v>
      </c>
      <c r="D19" s="26" t="n">
        <v>0.45</v>
      </c>
      <c r="E19" s="50" t="n">
        <f aca="false">C19*D19</f>
        <v>691.2</v>
      </c>
      <c r="F19" s="87" t="n">
        <f aca="false">E19/Assumptions!$C$12</f>
        <v>0.214658385093168</v>
      </c>
      <c r="G19" s="75" t="s">
        <v>587</v>
      </c>
    </row>
    <row r="20" customFormat="false" ht="30" hidden="false" customHeight="true" outlineLevel="0" collapsed="false">
      <c r="B20" s="5" t="s">
        <v>580</v>
      </c>
      <c r="C20" s="50" t="n">
        <f aca="false">G13</f>
        <v>260.064</v>
      </c>
      <c r="D20" s="26" t="n">
        <v>0.7</v>
      </c>
      <c r="E20" s="50" t="n">
        <f aca="false">C20*D20</f>
        <v>182.0448</v>
      </c>
      <c r="F20" s="87" t="n">
        <f aca="false">E20/Assumptions!$C$12</f>
        <v>0.056535652173913</v>
      </c>
      <c r="G20" s="75" t="s">
        <v>588</v>
      </c>
    </row>
    <row r="21" customFormat="false" ht="30" hidden="false" customHeight="true" outlineLevel="0" collapsed="false">
      <c r="B21" s="5" t="s">
        <v>582</v>
      </c>
      <c r="C21" s="50" t="n">
        <f aca="false">G14</f>
        <v>600</v>
      </c>
      <c r="D21" s="26" t="n">
        <v>0.25</v>
      </c>
      <c r="E21" s="50" t="n">
        <f aca="false">C21*D21</f>
        <v>150</v>
      </c>
      <c r="F21" s="87" t="n">
        <f aca="false">E21/Assumptions!$C$12</f>
        <v>0.046583850931677</v>
      </c>
      <c r="G21" s="75" t="s">
        <v>589</v>
      </c>
    </row>
    <row r="22" customFormat="false" ht="15" hidden="false" customHeight="false" outlineLevel="0" collapsed="false">
      <c r="B22" s="7" t="s">
        <v>590</v>
      </c>
      <c r="E22" s="78" t="n">
        <f aca="false">SUM(E19:E21)</f>
        <v>1023.2448</v>
      </c>
      <c r="F22" s="79" t="n">
        <f aca="false">SUM(F19:F21)</f>
        <v>0.317777888198758</v>
      </c>
    </row>
    <row r="24" customFormat="false" ht="15" hidden="false" customHeight="false" outlineLevel="0" collapsed="false">
      <c r="B24" s="19" t="s">
        <v>591</v>
      </c>
      <c r="C24" s="20"/>
      <c r="D24" s="20"/>
      <c r="E24" s="20"/>
      <c r="F24" s="20"/>
      <c r="G24" s="20"/>
      <c r="H24" s="20"/>
    </row>
    <row r="25" customFormat="false" ht="15" hidden="false" customHeight="false" outlineLevel="0" collapsed="false">
      <c r="B25" s="6" t="s">
        <v>505</v>
      </c>
      <c r="D25" s="53" t="n">
        <f aca="false">'Football Field'!$C$16</f>
        <v>6.12330732138286</v>
      </c>
    </row>
    <row r="26" customFormat="false" ht="15" hidden="false" customHeight="false" outlineLevel="0" collapsed="false">
      <c r="B26" s="6" t="s">
        <v>298</v>
      </c>
      <c r="D26" s="53" t="n">
        <f aca="false">Assumptions!$C$11</f>
        <v>5.48</v>
      </c>
    </row>
    <row r="27" customFormat="false" ht="15" hidden="false" customHeight="false" outlineLevel="0" collapsed="false">
      <c r="B27" s="5" t="s">
        <v>592</v>
      </c>
      <c r="D27" s="87" t="n">
        <f aca="false">D25-D26</f>
        <v>0.64330732138286</v>
      </c>
    </row>
    <row r="28" customFormat="false" ht="15" hidden="false" customHeight="false" outlineLevel="0" collapsed="false">
      <c r="B28" s="6" t="s">
        <v>593</v>
      </c>
      <c r="D28" s="53" t="n">
        <f aca="false">'ESG Value Bridge'!$D$30</f>
        <v>0.431297729098335</v>
      </c>
    </row>
    <row r="29" customFormat="false" ht="15" hidden="false" customHeight="false" outlineLevel="0" collapsed="false">
      <c r="B29" s="66" t="s">
        <v>594</v>
      </c>
      <c r="D29" s="103" t="n">
        <f aca="false">D28/D27</f>
        <v>0.670438085752254</v>
      </c>
    </row>
    <row r="30" customFormat="false" ht="15" hidden="false" customHeight="false" outlineLevel="0" collapsed="false">
      <c r="B30" s="6" t="s">
        <v>595</v>
      </c>
      <c r="D30" s="53" t="n">
        <f aca="false">F22</f>
        <v>0.317777888198758</v>
      </c>
    </row>
    <row r="31" customFormat="false" ht="15" hidden="false" customHeight="false" outlineLevel="0" collapsed="false">
      <c r="B31" s="66" t="s">
        <v>596</v>
      </c>
      <c r="D31" s="104" t="n">
        <f aca="false">D25+F22</f>
        <v>6.44108520958162</v>
      </c>
    </row>
    <row r="33" customFormat="false" ht="15" hidden="false" customHeight="false" outlineLevel="0" collapsed="false">
      <c r="B33" s="11" t="s">
        <v>597</v>
      </c>
    </row>
    <row r="34" customFormat="false" ht="15" hidden="false" customHeight="false" outlineLevel="0" collapsed="false">
      <c r="B34" s="11" t="s">
        <v>598</v>
      </c>
    </row>
    <row r="35" customFormat="false" ht="15" hidden="false" customHeight="false" outlineLevel="0" collapsed="false">
      <c r="B35" s="11" t="s">
        <v>599</v>
      </c>
    </row>
    <row r="36" customFormat="false" ht="15" hidden="false" customHeight="false" outlineLevel="0" collapsed="false">
      <c r="B36" s="11" t="s">
        <v>600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FBF3F"/>
    <pageSetUpPr fitToPage="false"/>
  </sheetPr>
  <dimension ref="B2:F3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2"/>
    <col collapsed="false" customWidth="true" hidden="false" outlineLevel="0" max="5" min="3" style="0" width="15"/>
    <col collapsed="false" customWidth="true" hidden="false" outlineLevel="0" max="6" min="6" style="0" width="50"/>
    <col collapsed="false" customWidth="true" hidden="false" outlineLevel="0" max="15" min="7" style="0" width="11.5"/>
  </cols>
  <sheetData>
    <row r="2" customFormat="false" ht="19.7" hidden="false" customHeight="false" outlineLevel="0" collapsed="false">
      <c r="B2" s="12" t="s">
        <v>53</v>
      </c>
    </row>
    <row r="3" customFormat="false" ht="15" hidden="false" customHeight="false" outlineLevel="0" collapsed="false">
      <c r="B3" s="13" t="s">
        <v>601</v>
      </c>
    </row>
    <row r="4" customFormat="false" ht="15" hidden="false" customHeight="false" outlineLevel="0" collapsed="false">
      <c r="B4" s="11" t="s">
        <v>64</v>
      </c>
    </row>
    <row r="6" customFormat="false" ht="15" hidden="false" customHeight="false" outlineLevel="0" collapsed="false">
      <c r="B6" s="19" t="s">
        <v>602</v>
      </c>
      <c r="C6" s="20"/>
      <c r="D6" s="20"/>
      <c r="E6" s="20"/>
      <c r="F6" s="20"/>
    </row>
    <row r="7" customFormat="false" ht="15" hidden="false" customHeight="false" outlineLevel="0" collapsed="false">
      <c r="B7" s="6" t="s">
        <v>135</v>
      </c>
      <c r="C7" s="24" t="n">
        <f aca="false">Assumptions!$C$58</f>
        <v>0.059</v>
      </c>
      <c r="D7" s="11" t="s">
        <v>603</v>
      </c>
    </row>
    <row r="8" customFormat="false" ht="15" hidden="false" customHeight="false" outlineLevel="0" collapsed="false">
      <c r="B8" s="6" t="s">
        <v>137</v>
      </c>
      <c r="C8" s="26" t="n">
        <v>0.079</v>
      </c>
      <c r="D8" s="11" t="s">
        <v>604</v>
      </c>
    </row>
    <row r="9" customFormat="false" ht="15" hidden="false" customHeight="false" outlineLevel="0" collapsed="false">
      <c r="B9" s="6" t="s">
        <v>605</v>
      </c>
      <c r="C9" s="26" t="n">
        <v>0.02</v>
      </c>
    </row>
    <row r="11" customFormat="false" ht="15" hidden="false" customHeight="false" outlineLevel="0" collapsed="false">
      <c r="B11" s="19" t="s">
        <v>606</v>
      </c>
      <c r="C11" s="20"/>
      <c r="D11" s="20"/>
      <c r="E11" s="20"/>
      <c r="F11" s="20"/>
    </row>
    <row r="12" customFormat="false" ht="15" hidden="false" customHeight="false" outlineLevel="0" collapsed="false">
      <c r="B12" s="6" t="s">
        <v>607</v>
      </c>
      <c r="C12" s="53" t="n">
        <f aca="false">Assumptions!$C$11</f>
        <v>5.48</v>
      </c>
    </row>
    <row r="13" customFormat="false" ht="15" hidden="false" customHeight="false" outlineLevel="0" collapsed="false">
      <c r="B13" s="6" t="s">
        <v>608</v>
      </c>
      <c r="C13" s="53" t="n">
        <f aca="false">'Football Field'!$C$16</f>
        <v>6.12330732138286</v>
      </c>
    </row>
    <row r="14" customFormat="false" ht="15" hidden="false" customHeight="false" outlineLevel="0" collapsed="false">
      <c r="B14" s="6" t="s">
        <v>609</v>
      </c>
      <c r="C14" s="24" t="n">
        <f aca="false">'Football Field'!$C$18</f>
        <v>0.117391846967675</v>
      </c>
    </row>
    <row r="15" customFormat="false" ht="15" hidden="false" customHeight="false" outlineLevel="0" collapsed="false">
      <c r="B15" s="6" t="s">
        <v>610</v>
      </c>
      <c r="C15" s="24" t="n">
        <f aca="false">'Income Statement'!F25</f>
        <v>0.0166988356870835</v>
      </c>
    </row>
    <row r="16" customFormat="false" ht="15" hidden="false" customHeight="false" outlineLevel="0" collapsed="false">
      <c r="B16" s="5" t="s">
        <v>611</v>
      </c>
      <c r="C16" s="35" t="n">
        <f aca="false">'Football Field'!$C$20</f>
        <v>0.134090682654759</v>
      </c>
    </row>
    <row r="17" customFormat="false" ht="15" hidden="false" customHeight="false" outlineLevel="0" collapsed="false">
      <c r="B17" s="5" t="s">
        <v>612</v>
      </c>
      <c r="C17" s="35" t="n">
        <f aca="false">C16-C7</f>
        <v>0.0750906826547586</v>
      </c>
    </row>
    <row r="19" customFormat="false" ht="15" hidden="false" customHeight="false" outlineLevel="0" collapsed="false">
      <c r="B19" s="19" t="s">
        <v>613</v>
      </c>
      <c r="C19" s="20"/>
      <c r="D19" s="20"/>
      <c r="E19" s="20"/>
      <c r="F19" s="20"/>
    </row>
    <row r="20" customFormat="false" ht="15" hidden="false" customHeight="false" outlineLevel="0" collapsed="false">
      <c r="B20" s="6" t="s">
        <v>614</v>
      </c>
      <c r="C20" s="53" t="n">
        <f aca="false">'Scenario Engine'!$C$37</f>
        <v>2.26471244820927</v>
      </c>
    </row>
    <row r="21" customFormat="false" ht="15" hidden="false" customHeight="false" outlineLevel="0" collapsed="false">
      <c r="B21" s="6" t="s">
        <v>615</v>
      </c>
      <c r="C21" s="53" t="n">
        <f aca="false">'Scenario Engine'!$C$72</f>
        <v>6.4975771608969</v>
      </c>
    </row>
    <row r="22" customFormat="false" ht="15" hidden="false" customHeight="false" outlineLevel="0" collapsed="false">
      <c r="B22" s="6" t="s">
        <v>616</v>
      </c>
      <c r="C22" s="53" t="n">
        <f aca="false">'Scenario Engine'!$C$107</f>
        <v>8.93434732226067</v>
      </c>
    </row>
    <row r="23" customFormat="false" ht="15" hidden="false" customHeight="false" outlineLevel="0" collapsed="false">
      <c r="B23" s="6" t="s">
        <v>617</v>
      </c>
      <c r="C23" s="24" t="n">
        <f aca="false">C20/Assumptions!$C$11-1</f>
        <v>-0.586731305071302</v>
      </c>
    </row>
    <row r="24" customFormat="false" ht="15" hidden="false" customHeight="false" outlineLevel="0" collapsed="false">
      <c r="B24" s="6" t="s">
        <v>618</v>
      </c>
      <c r="C24" s="24" t="n">
        <f aca="false">C22/Assumptions!$C$11-1</f>
        <v>0.630355350777494</v>
      </c>
    </row>
    <row r="25" customFormat="false" ht="15" hidden="false" customHeight="false" outlineLevel="0" collapsed="false">
      <c r="B25" s="5" t="s">
        <v>619</v>
      </c>
      <c r="C25" s="105" t="n">
        <f aca="false">IFERROR(ABS(C24/C23),0)</f>
        <v>1.07435097689374</v>
      </c>
      <c r="D25" s="11" t="s">
        <v>620</v>
      </c>
    </row>
    <row r="27" customFormat="false" ht="15" hidden="false" customHeight="false" outlineLevel="0" collapsed="false">
      <c r="B27" s="19" t="s">
        <v>621</v>
      </c>
      <c r="C27" s="20"/>
      <c r="D27" s="20"/>
      <c r="E27" s="20"/>
      <c r="F27" s="20"/>
    </row>
    <row r="28" customFormat="false" ht="15" hidden="false" customHeight="false" outlineLevel="0" collapsed="false">
      <c r="B28" s="6" t="s">
        <v>622</v>
      </c>
      <c r="C28" s="21" t="n">
        <v>1.91</v>
      </c>
      <c r="D28" s="11" t="s">
        <v>623</v>
      </c>
    </row>
    <row r="29" customFormat="false" ht="15" hidden="false" customHeight="false" outlineLevel="0" collapsed="false">
      <c r="B29" s="6" t="s">
        <v>624</v>
      </c>
      <c r="C29" s="53" t="n">
        <f aca="false">C20</f>
        <v>2.26471244820927</v>
      </c>
    </row>
    <row r="30" customFormat="false" ht="15" hidden="false" customHeight="false" outlineLevel="0" collapsed="false">
      <c r="B30" s="5" t="s">
        <v>625</v>
      </c>
      <c r="C30" s="35" t="n">
        <f aca="false">C29/C28-1</f>
        <v>0.185713323669774</v>
      </c>
    </row>
    <row r="32" customFormat="false" ht="15" hidden="false" customHeight="false" outlineLevel="0" collapsed="false">
      <c r="B32" s="11" t="s">
        <v>626</v>
      </c>
    </row>
    <row r="33" customFormat="false" ht="15" hidden="false" customHeight="false" outlineLevel="0" collapsed="false">
      <c r="B33" s="11" t="s">
        <v>627</v>
      </c>
    </row>
    <row r="34" customFormat="false" ht="15" hidden="false" customHeight="false" outlineLevel="0" collapsed="false">
      <c r="B34" s="11" t="s">
        <v>628</v>
      </c>
    </row>
    <row r="35" customFormat="false" ht="15" hidden="false" customHeight="false" outlineLevel="0" collapsed="false">
      <c r="B35" s="11" t="s">
        <v>629</v>
      </c>
    </row>
    <row r="37" customFormat="false" ht="15" hidden="false" customHeight="false" outlineLevel="0" collapsed="false">
      <c r="B37" s="11" t="s">
        <v>630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A6472"/>
    <pageSetUpPr fitToPage="false"/>
  </sheetPr>
  <dimension ref="B2:E6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0"/>
    <col collapsed="false" customWidth="true" hidden="false" outlineLevel="0" max="3" min="3" style="0" width="16"/>
    <col collapsed="false" customWidth="true" hidden="false" outlineLevel="0" max="4" min="4" style="0" width="10"/>
    <col collapsed="false" customWidth="true" hidden="false" outlineLevel="0" max="5" min="5" style="0" width="70"/>
    <col collapsed="false" customWidth="true" hidden="false" outlineLevel="0" max="15" min="6" style="0" width="11.5"/>
  </cols>
  <sheetData>
    <row r="2" customFormat="false" ht="19.7" hidden="false" customHeight="false" outlineLevel="0" collapsed="false">
      <c r="B2" s="12" t="s">
        <v>631</v>
      </c>
    </row>
    <row r="3" customFormat="false" ht="15" hidden="false" customHeight="false" outlineLevel="0" collapsed="false">
      <c r="B3" s="13" t="s">
        <v>632</v>
      </c>
    </row>
    <row r="4" customFormat="false" ht="15" hidden="false" customHeight="false" outlineLevel="0" collapsed="false">
      <c r="B4" s="11" t="s">
        <v>64</v>
      </c>
    </row>
    <row r="6" customFormat="false" ht="15" hidden="false" customHeight="false" outlineLevel="0" collapsed="false">
      <c r="B6" s="68" t="s">
        <v>633</v>
      </c>
      <c r="C6" s="68" t="s">
        <v>426</v>
      </c>
      <c r="D6" s="68" t="s">
        <v>634</v>
      </c>
      <c r="E6" s="68" t="s">
        <v>635</v>
      </c>
    </row>
    <row r="7" customFormat="false" ht="15" hidden="false" customHeight="false" outlineLevel="0" collapsed="false">
      <c r="B7" s="5" t="s">
        <v>92</v>
      </c>
      <c r="C7" s="106" t="s">
        <v>636</v>
      </c>
      <c r="D7" s="107" t="s">
        <v>637</v>
      </c>
      <c r="E7" s="75" t="s">
        <v>638</v>
      </c>
    </row>
    <row r="8" customFormat="false" ht="15" hidden="false" customHeight="false" outlineLevel="0" collapsed="false">
      <c r="B8" s="5" t="s">
        <v>94</v>
      </c>
      <c r="C8" s="106" t="s">
        <v>639</v>
      </c>
      <c r="D8" s="107" t="s">
        <v>637</v>
      </c>
      <c r="E8" s="75" t="s">
        <v>640</v>
      </c>
    </row>
    <row r="9" customFormat="false" ht="15" hidden="false" customHeight="false" outlineLevel="0" collapsed="false">
      <c r="B9" s="5" t="s">
        <v>95</v>
      </c>
      <c r="C9" s="106" t="s">
        <v>641</v>
      </c>
      <c r="D9" s="107" t="s">
        <v>637</v>
      </c>
      <c r="E9" s="75" t="s">
        <v>642</v>
      </c>
    </row>
    <row r="10" customFormat="false" ht="15" hidden="false" customHeight="false" outlineLevel="0" collapsed="false">
      <c r="B10" s="5" t="s">
        <v>643</v>
      </c>
      <c r="C10" s="106" t="s">
        <v>644</v>
      </c>
      <c r="D10" s="107" t="s">
        <v>637</v>
      </c>
      <c r="E10" s="75" t="s">
        <v>645</v>
      </c>
    </row>
    <row r="11" customFormat="false" ht="15" hidden="false" customHeight="false" outlineLevel="0" collapsed="false">
      <c r="B11" s="5" t="s">
        <v>646</v>
      </c>
      <c r="C11" s="106" t="s">
        <v>647</v>
      </c>
      <c r="D11" s="108" t="s">
        <v>648</v>
      </c>
      <c r="E11" s="75" t="s">
        <v>649</v>
      </c>
    </row>
    <row r="12" customFormat="false" ht="15" hidden="false" customHeight="false" outlineLevel="0" collapsed="false">
      <c r="B12" s="5" t="s">
        <v>650</v>
      </c>
      <c r="C12" s="106" t="s">
        <v>651</v>
      </c>
      <c r="D12" s="108" t="s">
        <v>648</v>
      </c>
      <c r="E12" s="75" t="s">
        <v>652</v>
      </c>
    </row>
    <row r="13" customFormat="false" ht="15" hidden="false" customHeight="false" outlineLevel="0" collapsed="false">
      <c r="B13" s="5" t="s">
        <v>653</v>
      </c>
      <c r="C13" s="106" t="s">
        <v>654</v>
      </c>
      <c r="D13" s="108" t="s">
        <v>648</v>
      </c>
      <c r="E13" s="75" t="s">
        <v>655</v>
      </c>
    </row>
    <row r="14" customFormat="false" ht="15" hidden="false" customHeight="false" outlineLevel="0" collapsed="false">
      <c r="B14" s="5" t="s">
        <v>656</v>
      </c>
      <c r="C14" s="106" t="s">
        <v>657</v>
      </c>
      <c r="D14" s="109" t="s">
        <v>658</v>
      </c>
      <c r="E14" s="75" t="s">
        <v>659</v>
      </c>
    </row>
    <row r="15" customFormat="false" ht="15" hidden="false" customHeight="false" outlineLevel="0" collapsed="false">
      <c r="B15" s="5" t="s">
        <v>660</v>
      </c>
      <c r="C15" s="106" t="s">
        <v>661</v>
      </c>
      <c r="D15" s="109" t="s">
        <v>658</v>
      </c>
      <c r="E15" s="75" t="s">
        <v>662</v>
      </c>
    </row>
    <row r="16" customFormat="false" ht="15" hidden="false" customHeight="false" outlineLevel="0" collapsed="false">
      <c r="B16" s="5" t="s">
        <v>663</v>
      </c>
      <c r="C16" s="106" t="s">
        <v>664</v>
      </c>
      <c r="D16" s="109" t="s">
        <v>658</v>
      </c>
      <c r="E16" s="75" t="s">
        <v>665</v>
      </c>
    </row>
    <row r="17" customFormat="false" ht="15" hidden="false" customHeight="false" outlineLevel="0" collapsed="false">
      <c r="B17" s="5" t="s">
        <v>666</v>
      </c>
      <c r="C17" s="106" t="s">
        <v>667</v>
      </c>
      <c r="D17" s="109" t="s">
        <v>658</v>
      </c>
      <c r="E17" s="75" t="s">
        <v>668</v>
      </c>
    </row>
    <row r="18" customFormat="false" ht="15" hidden="false" customHeight="false" outlineLevel="0" collapsed="false">
      <c r="B18" s="5" t="s">
        <v>669</v>
      </c>
      <c r="C18" s="106" t="s">
        <v>670</v>
      </c>
      <c r="D18" s="109" t="s">
        <v>658</v>
      </c>
      <c r="E18" s="75" t="s">
        <v>665</v>
      </c>
    </row>
    <row r="19" customFormat="false" ht="15" hidden="false" customHeight="false" outlineLevel="0" collapsed="false">
      <c r="B19" s="5" t="s">
        <v>671</v>
      </c>
      <c r="C19" s="106" t="s">
        <v>672</v>
      </c>
      <c r="D19" s="109" t="s">
        <v>658</v>
      </c>
      <c r="E19" s="75" t="s">
        <v>673</v>
      </c>
    </row>
    <row r="20" customFormat="false" ht="15" hidden="false" customHeight="false" outlineLevel="0" collapsed="false">
      <c r="B20" s="5" t="s">
        <v>674</v>
      </c>
      <c r="C20" s="106" t="s">
        <v>675</v>
      </c>
      <c r="D20" s="109" t="s">
        <v>658</v>
      </c>
      <c r="E20" s="75" t="s">
        <v>676</v>
      </c>
    </row>
    <row r="21" customFormat="false" ht="15" hidden="false" customHeight="false" outlineLevel="0" collapsed="false">
      <c r="B21" s="5" t="s">
        <v>677</v>
      </c>
      <c r="C21" s="106" t="s">
        <v>678</v>
      </c>
      <c r="D21" s="109" t="s">
        <v>658</v>
      </c>
      <c r="E21" s="75" t="s">
        <v>679</v>
      </c>
    </row>
    <row r="22" customFormat="false" ht="15" hidden="false" customHeight="false" outlineLevel="0" collapsed="false">
      <c r="B22" s="5" t="s">
        <v>680</v>
      </c>
      <c r="C22" s="106" t="s">
        <v>681</v>
      </c>
      <c r="D22" s="109" t="s">
        <v>658</v>
      </c>
      <c r="E22" s="75" t="s">
        <v>682</v>
      </c>
    </row>
    <row r="23" customFormat="false" ht="15" hidden="false" customHeight="false" outlineLevel="0" collapsed="false">
      <c r="B23" s="5" t="s">
        <v>683</v>
      </c>
      <c r="C23" s="106" t="s">
        <v>684</v>
      </c>
      <c r="D23" s="109" t="s">
        <v>658</v>
      </c>
      <c r="E23" s="75" t="s">
        <v>685</v>
      </c>
    </row>
    <row r="24" customFormat="false" ht="15" hidden="false" customHeight="false" outlineLevel="0" collapsed="false">
      <c r="B24" s="5" t="s">
        <v>686</v>
      </c>
      <c r="C24" s="106" t="s">
        <v>687</v>
      </c>
      <c r="D24" s="109" t="s">
        <v>658</v>
      </c>
      <c r="E24" s="75" t="s">
        <v>688</v>
      </c>
    </row>
    <row r="25" customFormat="false" ht="15" hidden="false" customHeight="false" outlineLevel="0" collapsed="false">
      <c r="B25" s="5" t="s">
        <v>689</v>
      </c>
      <c r="C25" s="106" t="s">
        <v>690</v>
      </c>
      <c r="D25" s="109" t="s">
        <v>658</v>
      </c>
      <c r="E25" s="75" t="s">
        <v>691</v>
      </c>
    </row>
    <row r="26" customFormat="false" ht="15" hidden="false" customHeight="false" outlineLevel="0" collapsed="false">
      <c r="B26" s="5" t="s">
        <v>692</v>
      </c>
      <c r="C26" s="106" t="s">
        <v>693</v>
      </c>
      <c r="D26" s="109" t="s">
        <v>694</v>
      </c>
      <c r="E26" s="75" t="s">
        <v>695</v>
      </c>
    </row>
    <row r="27" customFormat="false" ht="15" hidden="false" customHeight="false" outlineLevel="0" collapsed="false">
      <c r="B27" s="5" t="s">
        <v>696</v>
      </c>
      <c r="C27" s="106" t="s">
        <v>697</v>
      </c>
      <c r="D27" s="109" t="s">
        <v>694</v>
      </c>
      <c r="E27" s="75" t="s">
        <v>698</v>
      </c>
    </row>
    <row r="28" customFormat="false" ht="15" hidden="false" customHeight="false" outlineLevel="0" collapsed="false">
      <c r="B28" s="5" t="s">
        <v>699</v>
      </c>
      <c r="C28" s="106" t="s">
        <v>700</v>
      </c>
      <c r="D28" s="109" t="s">
        <v>694</v>
      </c>
      <c r="E28" s="75" t="s">
        <v>701</v>
      </c>
    </row>
    <row r="29" customFormat="false" ht="15" hidden="false" customHeight="false" outlineLevel="0" collapsed="false">
      <c r="B29" s="5" t="s">
        <v>702</v>
      </c>
      <c r="C29" s="106" t="s">
        <v>703</v>
      </c>
      <c r="D29" s="109" t="s">
        <v>694</v>
      </c>
      <c r="E29" s="75" t="s">
        <v>704</v>
      </c>
    </row>
    <row r="30" customFormat="false" ht="15" hidden="false" customHeight="false" outlineLevel="0" collapsed="false">
      <c r="B30" s="5" t="s">
        <v>705</v>
      </c>
      <c r="C30" s="106" t="s">
        <v>706</v>
      </c>
      <c r="D30" s="109" t="s">
        <v>658</v>
      </c>
      <c r="E30" s="75" t="s">
        <v>707</v>
      </c>
    </row>
    <row r="31" customFormat="false" ht="15" hidden="false" customHeight="false" outlineLevel="0" collapsed="false">
      <c r="B31" s="5" t="s">
        <v>708</v>
      </c>
      <c r="C31" s="106" t="s">
        <v>709</v>
      </c>
      <c r="D31" s="109" t="s">
        <v>658</v>
      </c>
      <c r="E31" s="75" t="s">
        <v>710</v>
      </c>
    </row>
    <row r="32" customFormat="false" ht="15" hidden="false" customHeight="false" outlineLevel="0" collapsed="false">
      <c r="B32" s="5" t="s">
        <v>711</v>
      </c>
      <c r="C32" s="106" t="s">
        <v>712</v>
      </c>
      <c r="D32" s="109" t="s">
        <v>658</v>
      </c>
      <c r="E32" s="75" t="s">
        <v>713</v>
      </c>
    </row>
    <row r="33" customFormat="false" ht="15" hidden="false" customHeight="false" outlineLevel="0" collapsed="false">
      <c r="B33" s="5" t="s">
        <v>714</v>
      </c>
      <c r="C33" s="106" t="s">
        <v>715</v>
      </c>
      <c r="D33" s="109" t="s">
        <v>694</v>
      </c>
      <c r="E33" s="75" t="s">
        <v>716</v>
      </c>
    </row>
    <row r="34" customFormat="false" ht="15" hidden="false" customHeight="false" outlineLevel="0" collapsed="false">
      <c r="B34" s="5" t="s">
        <v>717</v>
      </c>
      <c r="C34" s="106" t="s">
        <v>718</v>
      </c>
      <c r="D34" s="109" t="s">
        <v>658</v>
      </c>
      <c r="E34" s="75" t="s">
        <v>719</v>
      </c>
    </row>
    <row r="35" customFormat="false" ht="15" hidden="false" customHeight="false" outlineLevel="0" collapsed="false">
      <c r="B35" s="5" t="s">
        <v>720</v>
      </c>
      <c r="C35" s="106" t="s">
        <v>721</v>
      </c>
      <c r="D35" s="109" t="s">
        <v>658</v>
      </c>
      <c r="E35" s="75" t="s">
        <v>722</v>
      </c>
    </row>
    <row r="36" customFormat="false" ht="15" hidden="false" customHeight="false" outlineLevel="0" collapsed="false">
      <c r="B36" s="5" t="s">
        <v>723</v>
      </c>
      <c r="C36" s="106" t="s">
        <v>724</v>
      </c>
      <c r="D36" s="109" t="s">
        <v>658</v>
      </c>
      <c r="E36" s="75" t="s">
        <v>725</v>
      </c>
    </row>
    <row r="37" customFormat="false" ht="15" hidden="false" customHeight="false" outlineLevel="0" collapsed="false">
      <c r="B37" s="5" t="s">
        <v>726</v>
      </c>
      <c r="C37" s="106" t="s">
        <v>727</v>
      </c>
      <c r="D37" s="109" t="s">
        <v>658</v>
      </c>
      <c r="E37" s="75" t="s">
        <v>728</v>
      </c>
    </row>
    <row r="38" customFormat="false" ht="15" hidden="false" customHeight="false" outlineLevel="0" collapsed="false">
      <c r="B38" s="5" t="s">
        <v>729</v>
      </c>
      <c r="C38" s="106" t="s">
        <v>730</v>
      </c>
      <c r="D38" s="109" t="s">
        <v>658</v>
      </c>
      <c r="E38" s="75" t="s">
        <v>731</v>
      </c>
    </row>
    <row r="39" customFormat="false" ht="15" hidden="false" customHeight="false" outlineLevel="0" collapsed="false">
      <c r="B39" s="5" t="s">
        <v>732</v>
      </c>
      <c r="C39" s="106" t="s">
        <v>733</v>
      </c>
      <c r="D39" s="109" t="s">
        <v>658</v>
      </c>
      <c r="E39" s="75" t="s">
        <v>734</v>
      </c>
    </row>
    <row r="40" customFormat="false" ht="15" hidden="false" customHeight="false" outlineLevel="0" collapsed="false">
      <c r="B40" s="5" t="s">
        <v>735</v>
      </c>
      <c r="C40" s="106" t="s">
        <v>736</v>
      </c>
      <c r="D40" s="109" t="s">
        <v>658</v>
      </c>
      <c r="E40" s="75" t="s">
        <v>737</v>
      </c>
    </row>
    <row r="41" customFormat="false" ht="15" hidden="false" customHeight="false" outlineLevel="0" collapsed="false">
      <c r="B41" s="5" t="s">
        <v>738</v>
      </c>
      <c r="C41" s="106" t="s">
        <v>739</v>
      </c>
      <c r="D41" s="109" t="s">
        <v>658</v>
      </c>
      <c r="E41" s="75" t="s">
        <v>740</v>
      </c>
    </row>
    <row r="42" customFormat="false" ht="15" hidden="false" customHeight="false" outlineLevel="0" collapsed="false">
      <c r="B42" s="5" t="s">
        <v>741</v>
      </c>
      <c r="C42" s="106" t="s">
        <v>742</v>
      </c>
      <c r="D42" s="108" t="s">
        <v>648</v>
      </c>
      <c r="E42" s="75" t="s">
        <v>743</v>
      </c>
    </row>
    <row r="43" customFormat="false" ht="15" hidden="false" customHeight="false" outlineLevel="0" collapsed="false">
      <c r="B43" s="5" t="s">
        <v>744</v>
      </c>
      <c r="C43" s="106" t="s">
        <v>745</v>
      </c>
      <c r="D43" s="108" t="s">
        <v>648</v>
      </c>
      <c r="E43" s="75" t="s">
        <v>746</v>
      </c>
    </row>
    <row r="44" customFormat="false" ht="15" hidden="false" customHeight="false" outlineLevel="0" collapsed="false">
      <c r="B44" s="5" t="s">
        <v>747</v>
      </c>
      <c r="C44" s="106" t="s">
        <v>748</v>
      </c>
      <c r="D44" s="108" t="s">
        <v>648</v>
      </c>
      <c r="E44" s="75" t="s">
        <v>749</v>
      </c>
    </row>
    <row r="45" customFormat="false" ht="15" hidden="false" customHeight="false" outlineLevel="0" collapsed="false">
      <c r="B45" s="5" t="s">
        <v>750</v>
      </c>
      <c r="C45" s="106" t="s">
        <v>751</v>
      </c>
      <c r="D45" s="108" t="s">
        <v>648</v>
      </c>
      <c r="E45" s="75" t="s">
        <v>752</v>
      </c>
    </row>
    <row r="46" customFormat="false" ht="15" hidden="false" customHeight="false" outlineLevel="0" collapsed="false">
      <c r="B46" s="5" t="s">
        <v>753</v>
      </c>
      <c r="C46" s="106" t="s">
        <v>754</v>
      </c>
      <c r="D46" s="108" t="s">
        <v>648</v>
      </c>
      <c r="E46" s="75" t="s">
        <v>755</v>
      </c>
    </row>
    <row r="47" customFormat="false" ht="15" hidden="false" customHeight="false" outlineLevel="0" collapsed="false">
      <c r="B47" s="5" t="s">
        <v>756</v>
      </c>
      <c r="C47" s="106" t="s">
        <v>757</v>
      </c>
      <c r="D47" s="108" t="s">
        <v>648</v>
      </c>
      <c r="E47" s="75" t="s">
        <v>758</v>
      </c>
    </row>
    <row r="48" customFormat="false" ht="15" hidden="false" customHeight="false" outlineLevel="0" collapsed="false">
      <c r="B48" s="5" t="s">
        <v>759</v>
      </c>
      <c r="C48" s="106" t="s">
        <v>760</v>
      </c>
      <c r="D48" s="108" t="s">
        <v>648</v>
      </c>
      <c r="E48" s="75" t="s">
        <v>761</v>
      </c>
    </row>
    <row r="49" customFormat="false" ht="15" hidden="false" customHeight="false" outlineLevel="0" collapsed="false">
      <c r="B49" s="5" t="s">
        <v>762</v>
      </c>
      <c r="C49" s="106" t="s">
        <v>763</v>
      </c>
      <c r="D49" s="108" t="s">
        <v>648</v>
      </c>
      <c r="E49" s="75" t="s">
        <v>764</v>
      </c>
    </row>
    <row r="50" customFormat="false" ht="15" hidden="false" customHeight="false" outlineLevel="0" collapsed="false">
      <c r="B50" s="5" t="s">
        <v>765</v>
      </c>
      <c r="C50" s="106" t="s">
        <v>766</v>
      </c>
      <c r="D50" s="108" t="s">
        <v>648</v>
      </c>
      <c r="E50" s="75" t="s">
        <v>767</v>
      </c>
    </row>
    <row r="51" customFormat="false" ht="15" hidden="false" customHeight="false" outlineLevel="0" collapsed="false">
      <c r="B51" s="5" t="s">
        <v>768</v>
      </c>
      <c r="C51" s="106" t="s">
        <v>769</v>
      </c>
      <c r="D51" s="108" t="s">
        <v>648</v>
      </c>
      <c r="E51" s="75" t="s">
        <v>770</v>
      </c>
    </row>
    <row r="52" customFormat="false" ht="15" hidden="false" customHeight="false" outlineLevel="0" collapsed="false">
      <c r="B52" s="5" t="s">
        <v>771</v>
      </c>
      <c r="C52" s="106" t="s">
        <v>772</v>
      </c>
      <c r="D52" s="108" t="s">
        <v>648</v>
      </c>
      <c r="E52" s="75" t="s">
        <v>773</v>
      </c>
    </row>
    <row r="53" customFormat="false" ht="15" hidden="false" customHeight="false" outlineLevel="0" collapsed="false">
      <c r="B53" s="5" t="s">
        <v>774</v>
      </c>
      <c r="C53" s="106" t="s">
        <v>775</v>
      </c>
      <c r="D53" s="108" t="s">
        <v>648</v>
      </c>
      <c r="E53" s="75" t="s">
        <v>719</v>
      </c>
    </row>
    <row r="54" customFormat="false" ht="15" hidden="false" customHeight="false" outlineLevel="0" collapsed="false">
      <c r="B54" s="5" t="s">
        <v>776</v>
      </c>
      <c r="C54" s="106" t="s">
        <v>777</v>
      </c>
      <c r="D54" s="108" t="s">
        <v>648</v>
      </c>
      <c r="E54" s="75" t="s">
        <v>719</v>
      </c>
    </row>
    <row r="56" customFormat="false" ht="15" hidden="false" customHeight="false" outlineLevel="0" collapsed="false">
      <c r="B56" s="11" t="s">
        <v>778</v>
      </c>
    </row>
    <row r="57" customFormat="false" ht="15" hidden="false" customHeight="false" outlineLevel="0" collapsed="false">
      <c r="B57" s="11" t="s">
        <v>779</v>
      </c>
    </row>
    <row r="58" customFormat="false" ht="15" hidden="false" customHeight="false" outlineLevel="0" collapsed="false">
      <c r="B58" s="11" t="s">
        <v>780</v>
      </c>
    </row>
    <row r="59" customFormat="false" ht="15" hidden="false" customHeight="false" outlineLevel="0" collapsed="false">
      <c r="B59" s="11" t="s">
        <v>781</v>
      </c>
    </row>
    <row r="60" customFormat="false" ht="15" hidden="false" customHeight="false" outlineLevel="0" collapsed="false">
      <c r="B60" s="11" t="s">
        <v>782</v>
      </c>
    </row>
    <row r="61" customFormat="false" ht="15" hidden="false" customHeight="false" outlineLevel="0" collapsed="false">
      <c r="B61" s="11" t="s">
        <v>783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2026-09-06T12:04:46Z</dcterms:created>
  <dc:creator>openpyxl</dc:creator>
  <dc:description/>
  <dc:language>en-US</dc:language>
  <cp:lastModifiedBy/>
  <dcterms:modified xsi:type="dcterms:W3CDTF">2026-09-06T12:04:46Z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